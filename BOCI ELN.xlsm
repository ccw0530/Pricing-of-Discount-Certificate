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2" codeName="{801CCD77-7B78-1753-DF39-40050F3742D7}"/>
  <workbookPr codeName="ThisWorkbook"/>
  <mc:AlternateContent xmlns:mc="http://schemas.openxmlformats.org/markup-compatibility/2006">
    <mc:Choice Requires="x15">
      <x15ac:absPath xmlns:x15ac="http://schemas.microsoft.com/office/spreadsheetml/2010/11/ac" url="/Users/ccw/Desktop/"/>
    </mc:Choice>
  </mc:AlternateContent>
  <xr:revisionPtr revIDLastSave="0" documentId="8_{098E1F01-B963-944B-9E0E-80B201F92B44}" xr6:coauthVersionLast="45" xr6:coauthVersionMax="45" xr10:uidLastSave="{00000000-0000-0000-0000-000000000000}"/>
  <bookViews>
    <workbookView xWindow="0" yWindow="460" windowWidth="28800" windowHeight="16160" xr2:uid="{00000000-000D-0000-FFFF-FFFF00000000}"/>
  </bookViews>
  <sheets>
    <sheet name="ELN Pricer" sheetId="7" r:id="rId1"/>
  </sheets>
  <functionGroups builtInGroupCount="19"/>
  <definedNames>
    <definedName name="CUR">#REF!,#REF!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4" i="7" l="1"/>
  <c r="I43" i="7"/>
  <c r="I40" i="7"/>
  <c r="H16" i="7"/>
  <c r="C14" i="7"/>
  <c r="C24" i="7" s="1"/>
  <c r="C12" i="7"/>
  <c r="C11" i="7"/>
  <c r="C9" i="7"/>
  <c r="C8" i="7"/>
  <c r="G3" i="7"/>
  <c r="G8" i="7" l="1"/>
  <c r="U4" i="7"/>
  <c r="U5" i="7"/>
  <c r="U6" i="7"/>
  <c r="U14" i="7"/>
  <c r="U38" i="7"/>
  <c r="U7" i="7"/>
  <c r="U15" i="7"/>
  <c r="U23" i="7"/>
  <c r="U31" i="7"/>
  <c r="U39" i="7"/>
  <c r="U34" i="7"/>
  <c r="U19" i="7"/>
  <c r="U3" i="7"/>
  <c r="U12" i="7"/>
  <c r="U36" i="7"/>
  <c r="U13" i="7"/>
  <c r="U22" i="7"/>
  <c r="U8" i="7"/>
  <c r="U16" i="7"/>
  <c r="U24" i="7"/>
  <c r="U32" i="7"/>
  <c r="U40" i="7"/>
  <c r="U27" i="7"/>
  <c r="U28" i="7"/>
  <c r="U29" i="7"/>
  <c r="U9" i="7"/>
  <c r="U17" i="7"/>
  <c r="U25" i="7"/>
  <c r="U33" i="7"/>
  <c r="U41" i="7"/>
  <c r="U18" i="7"/>
  <c r="U26" i="7"/>
  <c r="U42" i="7"/>
  <c r="U35" i="7"/>
  <c r="U20" i="7"/>
  <c r="U21" i="7"/>
  <c r="U37" i="7"/>
  <c r="U30" i="7"/>
  <c r="U10" i="7"/>
  <c r="U11" i="7"/>
  <c r="G7" i="7"/>
  <c r="D24" i="7"/>
  <c r="C10" i="7"/>
  <c r="C31" i="7" s="1"/>
  <c r="C50" i="7"/>
  <c r="C25" i="7"/>
  <c r="G9" i="7" l="1"/>
  <c r="C74" i="7"/>
  <c r="C32" i="7"/>
  <c r="C47" i="7"/>
  <c r="S3" i="7" s="1"/>
  <c r="X3" i="7" s="1"/>
  <c r="C26" i="7"/>
  <c r="T3" i="7"/>
  <c r="C48" i="7"/>
  <c r="C34" i="7"/>
  <c r="C37" i="7"/>
  <c r="C33" i="7"/>
  <c r="V3" i="7" l="1"/>
  <c r="D26" i="7"/>
  <c r="C28" i="7"/>
  <c r="C49" i="7"/>
  <c r="S4" i="7" s="1"/>
  <c r="X4" i="7" s="1"/>
  <c r="T4" i="7"/>
  <c r="T5" i="7" s="1"/>
  <c r="T6" i="7" s="1"/>
  <c r="T7" i="7" s="1"/>
  <c r="S5" i="7"/>
  <c r="X5" i="7" s="1"/>
  <c r="C35" i="7"/>
  <c r="C38" i="7"/>
  <c r="C36" i="7"/>
  <c r="C40" i="7"/>
  <c r="D28" i="7" l="1"/>
  <c r="C53" i="7" s="1"/>
  <c r="C57" i="7" s="1"/>
  <c r="V4" i="7"/>
  <c r="C29" i="7"/>
  <c r="G5" i="7"/>
  <c r="G6" i="7" s="1"/>
  <c r="H18" i="7"/>
  <c r="G10" i="7"/>
  <c r="T8" i="7"/>
  <c r="S6" i="7"/>
  <c r="X6" i="7" s="1"/>
  <c r="V5" i="7"/>
  <c r="G11" i="7"/>
  <c r="C56" i="7" l="1"/>
  <c r="W3" i="7"/>
  <c r="W4" i="7"/>
  <c r="W5" i="7"/>
  <c r="S7" i="7"/>
  <c r="X7" i="7" s="1"/>
  <c r="V6" i="7"/>
  <c r="W6" i="7" s="1"/>
  <c r="T9" i="7"/>
  <c r="C70" i="7"/>
  <c r="C63" i="7"/>
  <c r="C82" i="7"/>
  <c r="T10" i="7" l="1"/>
  <c r="S8" i="7"/>
  <c r="X8" i="7" s="1"/>
  <c r="V7" i="7"/>
  <c r="W7" i="7" s="1"/>
  <c r="C60" i="7"/>
  <c r="C64" i="7" s="1"/>
  <c r="H40" i="7"/>
  <c r="C86" i="7"/>
  <c r="G49" i="7"/>
  <c r="C85" i="7"/>
  <c r="H49" i="7" s="1"/>
  <c r="D82" i="7"/>
  <c r="I49" i="7"/>
  <c r="C87" i="7"/>
  <c r="J49" i="7" s="1"/>
  <c r="C67" i="7"/>
  <c r="H43" i="7"/>
  <c r="C79" i="7"/>
  <c r="J46" i="7" s="1"/>
  <c r="C78" i="7"/>
  <c r="I46" i="7" s="1"/>
  <c r="C77" i="7"/>
  <c r="H46" i="7" s="1"/>
  <c r="G46" i="7"/>
  <c r="S9" i="7" l="1"/>
  <c r="X9" i="7" s="1"/>
  <c r="V8" i="7"/>
  <c r="W8" i="7" s="1"/>
  <c r="T11" i="7"/>
  <c r="G43" i="7"/>
  <c r="C71" i="7"/>
  <c r="J43" i="7" s="1"/>
  <c r="G40" i="7"/>
  <c r="J40" i="7"/>
  <c r="S10" i="7" l="1"/>
  <c r="X10" i="7" s="1"/>
  <c r="V9" i="7"/>
  <c r="W9" i="7" s="1"/>
  <c r="T12" i="7"/>
  <c r="T13" i="7" l="1"/>
  <c r="S11" i="7"/>
  <c r="X11" i="7" s="1"/>
  <c r="V10" i="7"/>
  <c r="W10" i="7" s="1"/>
  <c r="T14" i="7" l="1"/>
  <c r="S12" i="7"/>
  <c r="X12" i="7" s="1"/>
  <c r="V11" i="7"/>
  <c r="W11" i="7" s="1"/>
  <c r="S13" i="7" l="1"/>
  <c r="X13" i="7" s="1"/>
  <c r="V12" i="7"/>
  <c r="W12" i="7" s="1"/>
  <c r="T15" i="7"/>
  <c r="S14" i="7" l="1"/>
  <c r="V13" i="7"/>
  <c r="W13" i="7" s="1"/>
  <c r="T16" i="7"/>
  <c r="S15" i="7" l="1"/>
  <c r="X14" i="7"/>
  <c r="T17" i="7"/>
  <c r="V14" i="7"/>
  <c r="W14" i="7" s="1"/>
  <c r="V15" i="7" l="1"/>
  <c r="W15" i="7" s="1"/>
  <c r="X15" i="7"/>
  <c r="T18" i="7"/>
  <c r="S16" i="7"/>
  <c r="X16" i="7" s="1"/>
  <c r="S17" i="7" l="1"/>
  <c r="X17" i="7" s="1"/>
  <c r="V16" i="7"/>
  <c r="W16" i="7" s="1"/>
  <c r="T19" i="7"/>
  <c r="T20" i="7" l="1"/>
  <c r="S18" i="7"/>
  <c r="X18" i="7" s="1"/>
  <c r="V17" i="7"/>
  <c r="W17" i="7" s="1"/>
  <c r="S19" i="7" l="1"/>
  <c r="X19" i="7" s="1"/>
  <c r="V18" i="7"/>
  <c r="W18" i="7" s="1"/>
  <c r="T21" i="7"/>
  <c r="T22" i="7" l="1"/>
  <c r="S20" i="7"/>
  <c r="X20" i="7" s="1"/>
  <c r="V19" i="7"/>
  <c r="W19" i="7" s="1"/>
  <c r="T23" i="7" l="1"/>
  <c r="S21" i="7"/>
  <c r="X21" i="7" s="1"/>
  <c r="V20" i="7"/>
  <c r="W20" i="7" s="1"/>
  <c r="S22" i="7" l="1"/>
  <c r="X22" i="7" s="1"/>
  <c r="V21" i="7"/>
  <c r="W21" i="7" s="1"/>
  <c r="T24" i="7"/>
  <c r="T25" i="7" l="1"/>
  <c r="S23" i="7"/>
  <c r="X23" i="7" s="1"/>
  <c r="V22" i="7"/>
  <c r="W22" i="7" s="1"/>
  <c r="S24" i="7" l="1"/>
  <c r="X24" i="7" s="1"/>
  <c r="V23" i="7"/>
  <c r="W23" i="7" s="1"/>
  <c r="T26" i="7"/>
  <c r="T27" i="7" l="1"/>
  <c r="S25" i="7"/>
  <c r="X25" i="7" s="1"/>
  <c r="V24" i="7"/>
  <c r="W24" i="7" s="1"/>
  <c r="S26" i="7" l="1"/>
  <c r="X26" i="7" s="1"/>
  <c r="V25" i="7"/>
  <c r="W25" i="7" s="1"/>
  <c r="T28" i="7"/>
  <c r="T29" i="7" l="1"/>
  <c r="S27" i="7"/>
  <c r="X27" i="7" s="1"/>
  <c r="V26" i="7"/>
  <c r="W26" i="7" s="1"/>
  <c r="S28" i="7" l="1"/>
  <c r="X28" i="7" s="1"/>
  <c r="V27" i="7"/>
  <c r="W27" i="7" s="1"/>
  <c r="T30" i="7"/>
  <c r="T31" i="7" l="1"/>
  <c r="S29" i="7"/>
  <c r="X29" i="7" s="1"/>
  <c r="V28" i="7"/>
  <c r="W28" i="7" s="1"/>
  <c r="S30" i="7" l="1"/>
  <c r="X30" i="7" s="1"/>
  <c r="V29" i="7"/>
  <c r="W29" i="7" s="1"/>
  <c r="T32" i="7"/>
  <c r="T33" i="7" l="1"/>
  <c r="S31" i="7"/>
  <c r="X31" i="7" s="1"/>
  <c r="V30" i="7"/>
  <c r="W30" i="7" s="1"/>
  <c r="S32" i="7" l="1"/>
  <c r="X32" i="7" s="1"/>
  <c r="V31" i="7"/>
  <c r="W31" i="7" s="1"/>
  <c r="T34" i="7"/>
  <c r="T35" i="7" l="1"/>
  <c r="S33" i="7"/>
  <c r="X33" i="7" s="1"/>
  <c r="V32" i="7"/>
  <c r="W32" i="7" s="1"/>
  <c r="S34" i="7" l="1"/>
  <c r="X34" i="7" s="1"/>
  <c r="V33" i="7"/>
  <c r="W33" i="7" s="1"/>
  <c r="T36" i="7"/>
  <c r="T37" i="7" l="1"/>
  <c r="S35" i="7"/>
  <c r="X35" i="7" s="1"/>
  <c r="V34" i="7"/>
  <c r="W34" i="7" s="1"/>
  <c r="S36" i="7" l="1"/>
  <c r="X36" i="7" s="1"/>
  <c r="V35" i="7"/>
  <c r="W35" i="7" s="1"/>
  <c r="T38" i="7"/>
  <c r="T39" i="7" l="1"/>
  <c r="S37" i="7"/>
  <c r="X37" i="7" s="1"/>
  <c r="V36" i="7"/>
  <c r="W36" i="7" s="1"/>
  <c r="S38" i="7" l="1"/>
  <c r="X38" i="7" s="1"/>
  <c r="V37" i="7"/>
  <c r="W37" i="7" s="1"/>
  <c r="T40" i="7"/>
  <c r="T41" i="7" l="1"/>
  <c r="S39" i="7"/>
  <c r="X39" i="7" s="1"/>
  <c r="V38" i="7"/>
  <c r="W38" i="7" s="1"/>
  <c r="S40" i="7" l="1"/>
  <c r="X40" i="7" s="1"/>
  <c r="V39" i="7"/>
  <c r="W39" i="7" s="1"/>
  <c r="T42" i="7"/>
  <c r="S41" i="7" l="1"/>
  <c r="X41" i="7" s="1"/>
  <c r="V40" i="7"/>
  <c r="W40" i="7" s="1"/>
  <c r="S42" i="7" l="1"/>
  <c r="V41" i="7"/>
  <c r="W41" i="7" s="1"/>
  <c r="V42" i="7" l="1"/>
  <c r="W42" i="7" s="1"/>
  <c r="X42" i="7"/>
</calcChain>
</file>

<file path=xl/sharedStrings.xml><?xml version="1.0" encoding="utf-8"?>
<sst xmlns="http://schemas.openxmlformats.org/spreadsheetml/2006/main" count="262" uniqueCount="243">
  <si>
    <t>= Equity-linked note Price%</t>
  </si>
  <si>
    <t>+ Profit Margin %</t>
  </si>
  <si>
    <t>= Issue Price %</t>
  </si>
  <si>
    <t>Notional x Issue Price %</t>
  </si>
  <si>
    <t># of round lots to be bought</t>
  </si>
  <si>
    <t>Total shares to be bought</t>
  </si>
  <si>
    <t>Total Option Premium</t>
  </si>
  <si>
    <t>Position Delta</t>
  </si>
  <si>
    <t>Position Gamma</t>
  </si>
  <si>
    <t>Position Vega Value ($)</t>
  </si>
  <si>
    <t>Position Rho Value ($)</t>
  </si>
  <si>
    <t>Position Theta Value ($)</t>
  </si>
  <si>
    <t>Implied Volatility %</t>
  </si>
  <si>
    <t>Calculation</t>
  </si>
  <si>
    <t>Last Price</t>
  </si>
  <si>
    <t>HKD</t>
  </si>
  <si>
    <t>Default values</t>
  </si>
  <si>
    <t>User Input</t>
  </si>
  <si>
    <t>Volatility</t>
  </si>
  <si>
    <t>HKD Equity Linked Investment - Indicative Termsheet</t>
  </si>
  <si>
    <t>Data Area</t>
  </si>
  <si>
    <t>Spot at Maturity</t>
  </si>
  <si>
    <t>Exercise Price</t>
  </si>
  <si>
    <t>Investment Value at Maturity $</t>
  </si>
  <si>
    <t>P/L % at maturity</t>
  </si>
  <si>
    <t>Underlying Name</t>
  </si>
  <si>
    <t>Yue Yuen Industrial Hldg</t>
  </si>
  <si>
    <t>Underlying Stock</t>
  </si>
  <si>
    <t>Name</t>
  </si>
  <si>
    <t>Rond Lot</t>
  </si>
  <si>
    <t>Volaility</t>
  </si>
  <si>
    <t>Dividend Yield</t>
  </si>
  <si>
    <t>Settlement Currency</t>
  </si>
  <si>
    <t>Aac Technologies Holdings In</t>
  </si>
  <si>
    <t>Issue Price</t>
  </si>
  <si>
    <t>Aia Group Ltd</t>
  </si>
  <si>
    <t>Transaction Amount</t>
  </si>
  <si>
    <t>Anhui Conch Cement Co Ltd-H</t>
  </si>
  <si>
    <t>Notional</t>
  </si>
  <si>
    <t>Tenor (days)</t>
  </si>
  <si>
    <t>Anta Sports Products Ltd</t>
  </si>
  <si>
    <t>Round Lot</t>
  </si>
  <si>
    <t>Initial Reference Stock Price</t>
  </si>
  <si>
    <t>Asm Pacific Technology</t>
  </si>
  <si>
    <t>Spot</t>
  </si>
  <si>
    <t>Avichina Industry &amp; Tech-H</t>
  </si>
  <si>
    <t>Exercise Price (Default ATM)</t>
  </si>
  <si>
    <t>Share Entitlement</t>
  </si>
  <si>
    <t>Bank Of China Ltd-H</t>
  </si>
  <si>
    <t>Yield to Maturity (per annum)</t>
  </si>
  <si>
    <t>Bank Of Communications Co-H</t>
  </si>
  <si>
    <t>Dividend yield%</t>
  </si>
  <si>
    <t>Bank Of East Asia</t>
  </si>
  <si>
    <t>Interest Rate%</t>
  </si>
  <si>
    <t>Bbmg Corporation-H</t>
  </si>
  <si>
    <t>Tenor (Days, default 30 days)</t>
  </si>
  <si>
    <t>Redemption Amount at Maturity</t>
  </si>
  <si>
    <t>On Maturity Date</t>
  </si>
  <si>
    <t>Beijing Enterprises Hldgs</t>
  </si>
  <si>
    <t xml:space="preserve">if Reference Stock Price &gt;= Exercise Price, </t>
  </si>
  <si>
    <t>Beijing Enterprises Water Gr</t>
  </si>
  <si>
    <t>Beijing Jingneng Clean Ene-H</t>
  </si>
  <si>
    <t>Colour Legend</t>
  </si>
  <si>
    <t xml:space="preserve">if Reference Stock Price &lt; Exercise Price, </t>
  </si>
  <si>
    <t>Belle International Holdings</t>
  </si>
  <si>
    <t>System Default values or calculated results</t>
  </si>
  <si>
    <t>Biostime International Holdi</t>
  </si>
  <si>
    <t>Boc Hong Kong Holdings Ltd</t>
  </si>
  <si>
    <t>Brilliance China Automotive</t>
  </si>
  <si>
    <t>Cathay Pacific Airways</t>
  </si>
  <si>
    <t>Cheung Kong Holdings Ltd</t>
  </si>
  <si>
    <t>Price %</t>
  </si>
  <si>
    <t>Yield p.a.</t>
  </si>
  <si>
    <t>Cheung Kong Infrastructure</t>
  </si>
  <si>
    <t>+ Zero Coupon Bond %</t>
  </si>
  <si>
    <t>China Citic Bank Corp Ltd-H</t>
  </si>
  <si>
    <t>- Option Premium %</t>
  </si>
  <si>
    <t>China Coal Energy Co-H</t>
  </si>
  <si>
    <t>China Communications Const-H</t>
  </si>
  <si>
    <t>China Construction Bank-H</t>
  </si>
  <si>
    <t>China Everbright Intl Ltd</t>
  </si>
  <si>
    <t>China Gas Holdings Ltd</t>
  </si>
  <si>
    <t>China Hongqiao Group Ltd</t>
  </si>
  <si>
    <t>China Life Insurance Co-H</t>
  </si>
  <si>
    <t>China Longyuan Power Group-H</t>
  </si>
  <si>
    <t>China Mengniu Dairy Co</t>
  </si>
  <si>
    <t>shares</t>
  </si>
  <si>
    <t>China Merchants Hldgs Intl</t>
  </si>
  <si>
    <t>China Mobile Ltd</t>
  </si>
  <si>
    <t>per 1% vol change</t>
  </si>
  <si>
    <t>China Molybdenum Co Ltd-H</t>
  </si>
  <si>
    <t>per 1% interest rate change</t>
  </si>
  <si>
    <t>Scenario Analysis</t>
  </si>
  <si>
    <t>China National Building Ma-H</t>
  </si>
  <si>
    <t>per 1 day</t>
  </si>
  <si>
    <t>Scenario</t>
  </si>
  <si>
    <t>Closing price</t>
  </si>
  <si>
    <t>ELN Returns
(holding period)</t>
  </si>
  <si>
    <t>ELN Settlement</t>
  </si>
  <si>
    <t>"Buy Stock" Returns
(holding period)</t>
  </si>
  <si>
    <t>China Oilfield Services-H</t>
  </si>
  <si>
    <t>China Overseas Land &amp; Invest</t>
  </si>
  <si>
    <t>A</t>
  </si>
  <si>
    <t>China Petroleum &amp; Chemical-H</t>
  </si>
  <si>
    <t>China Railway Construction-H</t>
  </si>
  <si>
    <t>China Railway Group Ltd-H</t>
  </si>
  <si>
    <t>Working</t>
  </si>
  <si>
    <t>B</t>
  </si>
  <si>
    <t>China Resources Cement</t>
  </si>
  <si>
    <t>Lookup Row</t>
  </si>
  <si>
    <t>China Resources Enterprise</t>
  </si>
  <si>
    <t>China Resources Gas Group Lt</t>
  </si>
  <si>
    <t>Chart</t>
  </si>
  <si>
    <t>C</t>
  </si>
  <si>
    <t>China Resources Land Ltd</t>
  </si>
  <si>
    <t>Share price start</t>
  </si>
  <si>
    <t>China Resources Power Holdin</t>
  </si>
  <si>
    <t>Share price end</t>
  </si>
  <si>
    <t>China Shenhua Energy Co-H</t>
  </si>
  <si>
    <t>Steps</t>
  </si>
  <si>
    <t>D</t>
  </si>
  <si>
    <t>China South City Holdings</t>
  </si>
  <si>
    <t>Yearfrac</t>
  </si>
  <si>
    <t>China Southern Airlines Co-H</t>
  </si>
  <si>
    <t>China State Construction Int</t>
  </si>
  <si>
    <t>Scenario Table</t>
  </si>
  <si>
    <t>China Telecom Corp Ltd-H</t>
  </si>
  <si>
    <t>ELN Max period return</t>
  </si>
  <si>
    <t>China Unicom Hong Kong Ltd</t>
  </si>
  <si>
    <t>Chinese Estates Holdings Ltd</t>
  </si>
  <si>
    <t>Spot price</t>
  </si>
  <si>
    <t>Chongqing Rural Commercial-H</t>
  </si>
  <si>
    <t>ELN breakeven</t>
  </si>
  <si>
    <t>Chow Tai Fook Jewellery Grou</t>
  </si>
  <si>
    <t>ELN's return = Stock's return</t>
  </si>
  <si>
    <t>Citic Pacific Ltd</t>
  </si>
  <si>
    <t>Clp Holdings Ltd</t>
  </si>
  <si>
    <t>A) Stock's return&gt;ELN's return AND Spot&gt;Exerice Price</t>
  </si>
  <si>
    <t>Cnooc Ltd</t>
  </si>
  <si>
    <t>Cosco Pacific Ltd</t>
  </si>
  <si>
    <t>Country Garden Holdings Co</t>
  </si>
  <si>
    <t>period%</t>
  </si>
  <si>
    <t>Cspc Pharmaceutical Group Lt</t>
  </si>
  <si>
    <t>ELN's return</t>
  </si>
  <si>
    <t>Datang Intl Power Gen Co-H</t>
  </si>
  <si>
    <t>Stock's return</t>
  </si>
  <si>
    <t>Dongfeng Motor Grp Co Ltd-H</t>
  </si>
  <si>
    <t>Enn Energy Holdings Ltd</t>
  </si>
  <si>
    <t>B) Stock's return&lt;ELN's return AND Spot&gt;Exerice Price</t>
  </si>
  <si>
    <t>Esprit Holdings Ltd</t>
  </si>
  <si>
    <t>Evergrande Real Estate Group</t>
  </si>
  <si>
    <t>First Pacific Co</t>
  </si>
  <si>
    <t>Fosun International</t>
  </si>
  <si>
    <t>Great Wall Motor Company-H</t>
  </si>
  <si>
    <t>Guangdong Investment Ltd</t>
  </si>
  <si>
    <t>Guangzhou Automobile Group-H</t>
  </si>
  <si>
    <t>C) ELN's return = 0% AND Spot&lt;Exerice Price</t>
  </si>
  <si>
    <t>Guangzhou Baiyunshan Pharmac</t>
  </si>
  <si>
    <t>Guangzhou R&amp;F Properties - H</t>
  </si>
  <si>
    <t>Guoco Group Ltd</t>
  </si>
  <si>
    <t>Haier Electronics Group Co</t>
  </si>
  <si>
    <t>Haitian International Hldgs</t>
  </si>
  <si>
    <t>ELN's value</t>
  </si>
  <si>
    <t>Hang Lung Group Ltd</t>
  </si>
  <si>
    <t>Hang Lung Properties Ltd</t>
  </si>
  <si>
    <t>Hang Seng Bank Ltd</t>
  </si>
  <si>
    <t>D) Stock's return &lt; ELN's return AND Spot&lt;Exerice Price</t>
  </si>
  <si>
    <t>Hang Seng Index Etf</t>
  </si>
  <si>
    <t>Henderson Land Development</t>
  </si>
  <si>
    <t>Hengan Intl Group Co Ltd</t>
  </si>
  <si>
    <t>Hkt Trust And Hkt Ltd-Ss</t>
  </si>
  <si>
    <t>Hong Kong &amp; China Gas</t>
  </si>
  <si>
    <t>Hong Kong Exchanges &amp; Clear</t>
  </si>
  <si>
    <t>Huadian Fuxin Energy Corp -H</t>
  </si>
  <si>
    <t>Huaneng Power Intl Inc-H</t>
  </si>
  <si>
    <t>Huaneng Renewables Corp-H</t>
  </si>
  <si>
    <t>Hutchison Whampoa Ltd</t>
  </si>
  <si>
    <t>Hysan Development Co</t>
  </si>
  <si>
    <t>Ishares Ftse A50 China Index</t>
  </si>
  <si>
    <t>Jiangsu Express Co Ltd-H</t>
  </si>
  <si>
    <t>Jiangxi Copper Co Ltd-H</t>
  </si>
  <si>
    <t>Kerry Properties Ltd</t>
  </si>
  <si>
    <t>Kingsoft Corp Ltd</t>
  </si>
  <si>
    <t>Kunlun Energy Co Ltd</t>
  </si>
  <si>
    <t>Lenovo Group Ltd</t>
  </si>
  <si>
    <t>Li &amp; Fung Ltd</t>
  </si>
  <si>
    <t>Link Reit</t>
  </si>
  <si>
    <t>L'Occitane International Sa</t>
  </si>
  <si>
    <t>Longfor Properties</t>
  </si>
  <si>
    <t>Melco International Develop.</t>
  </si>
  <si>
    <t>Mgm China Holdings Ltd</t>
  </si>
  <si>
    <t>Mtr Corp</t>
  </si>
  <si>
    <t>New World China Land Ltd</t>
  </si>
  <si>
    <t>New World Development</t>
  </si>
  <si>
    <t>Nine Dragons Paper Holdings</t>
  </si>
  <si>
    <t>Nws Holdings Ltd</t>
  </si>
  <si>
    <t>Pccw Ltd</t>
  </si>
  <si>
    <t>People'S Insurance Co Grou-H</t>
  </si>
  <si>
    <t>Petrochina Co Ltd-H</t>
  </si>
  <si>
    <t>Picc Property &amp; Casualty -H</t>
  </si>
  <si>
    <t>Ping An Insurance Group Co-H</t>
  </si>
  <si>
    <t>Power Assets Holdings Ltd</t>
  </si>
  <si>
    <t>Prada S.P.A.</t>
  </si>
  <si>
    <t>Samsonite International Sa</t>
  </si>
  <si>
    <t>Sands China Ltd</t>
  </si>
  <si>
    <t>Shandong Weigao Gp Medical-H</t>
  </si>
  <si>
    <t>Shanghai Industrial Hldg Ltd</t>
  </si>
  <si>
    <t>Shangri-La Asia Ltd</t>
  </si>
  <si>
    <t>Shenzhou International Group</t>
  </si>
  <si>
    <t>Shimao Property Holdings Ltd</t>
  </si>
  <si>
    <t>Sihuan Pharmaceutical Hldgs</t>
  </si>
  <si>
    <t>Sino Biopharmaceutical</t>
  </si>
  <si>
    <t>Sino Land Co</t>
  </si>
  <si>
    <t>Sino-Ocean Land Holdings</t>
  </si>
  <si>
    <t>Sinopec Engineering Group-H</t>
  </si>
  <si>
    <t>Sinopharm Group Co-H</t>
  </si>
  <si>
    <t>Sjm Holdings Ltd</t>
  </si>
  <si>
    <t>Soho China Ltd</t>
  </si>
  <si>
    <t>Sun Art Retail Group Ltd</t>
  </si>
  <si>
    <t>Sun Hung Kai Properties</t>
  </si>
  <si>
    <t>Swire Pacific Ltd-A</t>
  </si>
  <si>
    <t>Swire Properties Ltd</t>
  </si>
  <si>
    <t>Techtronic Industries Co</t>
  </si>
  <si>
    <t>Tencent Holdings Ltd</t>
  </si>
  <si>
    <t>Tingyi (Cayman Isln) Hldg Co</t>
  </si>
  <si>
    <t>Towngas China Co Ltd</t>
  </si>
  <si>
    <t>Tracker Fund Of Hong Kong</t>
  </si>
  <si>
    <t>Tsim Sha Tsui Properties</t>
  </si>
  <si>
    <t>Uni-President China Holdings</t>
  </si>
  <si>
    <t>Want Want China Holdings Ltd</t>
  </si>
  <si>
    <t>Weichai Power Co Ltd-H</t>
  </si>
  <si>
    <t>Wharf Holdings Ltd</t>
  </si>
  <si>
    <t>Wheelock &amp; Co Ltd</t>
  </si>
  <si>
    <t>Wing Hang Bank Ltd</t>
  </si>
  <si>
    <t>Wynn Macau Ltd</t>
  </si>
  <si>
    <t>Xinyi Glass Holdings Ltd</t>
  </si>
  <si>
    <t>Yanzhou Coal Mining Co-H</t>
  </si>
  <si>
    <t>Zhejiang Expressway Co-H</t>
  </si>
  <si>
    <t>Zhuzhou Csr Times Electric-H</t>
  </si>
  <si>
    <t>Zijin Mining Group Co Ltd-H</t>
  </si>
  <si>
    <t>Spot at Initial</t>
  </si>
  <si>
    <t>Stock P/L % at maturity</t>
  </si>
  <si>
    <t>Comparsion with BOCI website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</si>
</sst>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quot;* #,##0_);_(&quot;$&quot;* \(#,##0\);_(&quot;$&quot;* &quot;-&quot;_);_(@_)"/>
    <numFmt numFmtId="165" formatCode="_(&quot;$&quot;* #,##0.00_);_(&quot;$&quot;* \(#,##0.00\);_(&quot;$&quot;* &quot;-&quot;??_);_(@_)"/>
    <numFmt numFmtId="167" formatCode="0.0000%"/>
    <numFmt numFmtId="169" formatCode="_(&quot;$&quot;* #,##0.000_);_(&quot;$&quot;* \(#,##0.000\);_(&quot;$&quot;* &quot;-&quot;???_);_(@_)"/>
    <numFmt numFmtId="170" formatCode="0.000%"/>
    <numFmt numFmtId="171" formatCode="dd\ mmmm\ yyyy"/>
    <numFmt numFmtId="172" formatCode="[$HKD]\ #,##0.00_);\([$HKD]\ #,##0.00\)"/>
    <numFmt numFmtId="173" formatCode="[$HKD]\ #,##0.000_);\([$HKD]\ #,##0.000\)"/>
    <numFmt numFmtId="174" formatCode="#,##0.0000"/>
    <numFmt numFmtId="175" formatCode="0.000000000000000%"/>
    <numFmt numFmtId="176" formatCode="&quot;$&quot;#,##0.00"/>
    <numFmt numFmtId="177" formatCode="_(&quot;$&quot;* #,##0.0000_);_(&quot;$&quot;* \(#,##0.0000\);_(&quot;$&quot;* &quot;-&quot;????_);_(@_)"/>
    <numFmt numFmtId="178" formatCode="#,##0.0000000000"/>
  </numFmts>
  <fonts count="13" x14ac:knownFonts="1">
    <font>
      <sz val="11"/>
      <color theme="1"/>
      <name val="Calibri"/>
      <family val="2"/>
      <scheme val="minor"/>
    </font>
    <font>
      <sz val="10"/>
      <name val="Arial"/>
      <family val="2"/>
    </font>
    <font>
      <b/>
      <sz val="10"/>
      <color indexed="9"/>
      <name val="Arial"/>
      <family val="2"/>
    </font>
    <font>
      <sz val="10"/>
      <color indexed="9"/>
      <name val="Arial"/>
      <family val="2"/>
    </font>
    <font>
      <b/>
      <sz val="10"/>
      <color theme="1"/>
      <name val="Arial"/>
      <family val="2"/>
    </font>
    <font>
      <b/>
      <sz val="10"/>
      <name val="Arial"/>
      <family val="2"/>
    </font>
    <font>
      <b/>
      <sz val="10"/>
      <color theme="0"/>
      <name val="Arial"/>
      <family val="2"/>
    </font>
    <font>
      <b/>
      <sz val="10"/>
      <color indexed="12"/>
      <name val="Arial"/>
      <family val="2"/>
    </font>
    <font>
      <sz val="10"/>
      <color theme="1"/>
      <name val="Arial"/>
      <family val="2"/>
    </font>
    <font>
      <b/>
      <sz val="10"/>
      <color rgb="FFFF0000"/>
      <name val="Arial"/>
      <family val="2"/>
    </font>
    <font>
      <i/>
      <sz val="10"/>
      <name val="Arial"/>
      <family val="2"/>
    </font>
    <font>
      <sz val="10"/>
      <color rgb="FFFF0000"/>
      <name val="Arial"/>
      <family val="2"/>
    </font>
    <font>
      <sz val="9"/>
      <name val="Calibri"/>
      <family val="3"/>
      <charset val="136"/>
      <scheme val="minor"/>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rgb="FFFFFF99"/>
        <bgColor indexed="64"/>
      </patternFill>
    </fill>
    <fill>
      <patternFill patternType="solid">
        <fgColor theme="7" tint="0.59999389629810485"/>
        <bgColor indexed="64"/>
      </patternFill>
    </fill>
    <fill>
      <patternFill patternType="solid">
        <fgColor indexed="22"/>
        <bgColor indexed="64"/>
      </patternFill>
    </fill>
    <fill>
      <patternFill patternType="solid">
        <fgColor theme="0"/>
        <bgColor indexed="64"/>
      </patternFill>
    </fill>
    <fill>
      <patternFill patternType="solid">
        <fgColor theme="7" tint="0.59996337778862885"/>
        <bgColor indexed="64"/>
      </patternFill>
    </fill>
  </fills>
  <borders count="3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ck">
        <color indexed="23"/>
      </right>
      <top/>
      <bottom/>
      <diagonal/>
    </border>
    <border>
      <left style="medium">
        <color indexed="23"/>
      </left>
      <right/>
      <top style="medium">
        <color indexed="23"/>
      </top>
      <bottom style="medium">
        <color indexed="23"/>
      </bottom>
      <diagonal/>
    </border>
    <border>
      <left/>
      <right style="medium">
        <color indexed="23"/>
      </right>
      <top style="medium">
        <color indexed="23"/>
      </top>
      <bottom style="medium">
        <color indexed="2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auto="1"/>
      </right>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thick">
        <color indexed="23"/>
      </left>
      <right/>
      <top style="thick">
        <color indexed="23"/>
      </top>
      <bottom style="thick">
        <color indexed="23"/>
      </bottom>
      <diagonal/>
    </border>
    <border>
      <left style="thin">
        <color indexed="23"/>
      </left>
      <right style="thick">
        <color indexed="23"/>
      </right>
      <top style="thick">
        <color indexed="23"/>
      </top>
      <bottom style="thick">
        <color indexed="23"/>
      </bottom>
      <diagonal/>
    </border>
    <border>
      <left/>
      <right style="thick">
        <color indexed="23"/>
      </right>
      <top style="medium">
        <color indexed="23"/>
      </top>
      <bottom/>
      <diagonal/>
    </border>
    <border>
      <left style="thick">
        <color indexed="23"/>
      </left>
      <right style="thin">
        <color indexed="23"/>
      </right>
      <top style="thick">
        <color indexed="23"/>
      </top>
      <bottom/>
      <diagonal/>
    </border>
    <border>
      <left style="thin">
        <color indexed="23"/>
      </left>
      <right style="thick">
        <color indexed="23"/>
      </right>
      <top style="thick">
        <color indexed="23"/>
      </top>
      <bottom/>
      <diagonal/>
    </border>
    <border>
      <left style="thick">
        <color indexed="23"/>
      </left>
      <right style="thin">
        <color indexed="23"/>
      </right>
      <top/>
      <bottom/>
      <diagonal/>
    </border>
    <border>
      <left style="thin">
        <color indexed="23"/>
      </left>
      <right style="thick">
        <color indexed="23"/>
      </right>
      <top/>
      <bottom/>
      <diagonal/>
    </border>
    <border>
      <left style="thin">
        <color indexed="23"/>
      </left>
      <right style="thick">
        <color indexed="23"/>
      </right>
      <top/>
      <bottom style="thick">
        <color indexed="23"/>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medium">
        <color indexed="64"/>
      </bottom>
      <diagonal/>
    </border>
  </borders>
  <cellStyleXfs count="3">
    <xf numFmtId="0" fontId="0" fillId="0" borderId="0"/>
    <xf numFmtId="0" fontId="1" fillId="0" borderId="0"/>
    <xf numFmtId="0" fontId="1" fillId="0" borderId="0"/>
  </cellStyleXfs>
  <cellXfs count="145">
    <xf numFmtId="0" fontId="0" fillId="0" borderId="0" xfId="0"/>
    <xf numFmtId="0" fontId="1" fillId="3" borderId="0" xfId="1" applyFill="1"/>
    <xf numFmtId="0" fontId="1" fillId="3" borderId="0" xfId="1" applyFill="1" applyAlignment="1">
      <alignment horizontal="right"/>
    </xf>
    <xf numFmtId="0" fontId="1" fillId="3" borderId="0" xfId="1" applyFill="1" applyAlignment="1">
      <alignment horizontal="center"/>
    </xf>
    <xf numFmtId="0" fontId="2" fillId="2" borderId="0" xfId="1" applyFont="1" applyFill="1" applyBorder="1" applyAlignment="1">
      <alignment horizontal="left"/>
    </xf>
    <xf numFmtId="0" fontId="2" fillId="3" borderId="0" xfId="1" applyFont="1" applyFill="1" applyBorder="1" applyAlignment="1">
      <alignment horizontal="left"/>
    </xf>
    <xf numFmtId="0" fontId="2" fillId="2" borderId="0" xfId="1" applyFont="1" applyFill="1" applyBorder="1" applyAlignment="1">
      <alignment horizontal="center"/>
    </xf>
    <xf numFmtId="0" fontId="3" fillId="2" borderId="0" xfId="1" applyFont="1" applyFill="1" applyBorder="1"/>
    <xf numFmtId="0" fontId="2" fillId="2" borderId="0" xfId="1" applyFont="1" applyFill="1"/>
    <xf numFmtId="0" fontId="2" fillId="3" borderId="0" xfId="1" applyFont="1" applyFill="1"/>
    <xf numFmtId="0" fontId="4" fillId="0" borderId="1" xfId="1" applyFont="1" applyBorder="1" applyAlignment="1">
      <alignment horizontal="center"/>
    </xf>
    <xf numFmtId="0" fontId="4" fillId="0" borderId="2" xfId="1" applyFont="1" applyBorder="1" applyAlignment="1">
      <alignment horizontal="center"/>
    </xf>
    <xf numFmtId="0" fontId="4" fillId="0" borderId="3" xfId="1" applyFont="1" applyBorder="1" applyAlignment="1">
      <alignment horizontal="center"/>
    </xf>
    <xf numFmtId="0" fontId="5" fillId="0" borderId="0" xfId="1" applyFont="1" applyAlignment="1">
      <alignment horizontal="center"/>
    </xf>
    <xf numFmtId="0" fontId="1" fillId="0" borderId="0" xfId="1"/>
    <xf numFmtId="0" fontId="1" fillId="3" borderId="0" xfId="1" applyFill="1" applyBorder="1" applyAlignment="1">
      <alignment horizontal="left" vertical="top"/>
    </xf>
    <xf numFmtId="0" fontId="5" fillId="0" borderId="4" xfId="1" applyFont="1" applyBorder="1" applyAlignment="1">
      <alignment horizontal="right"/>
    </xf>
    <xf numFmtId="0" fontId="5" fillId="0" borderId="0" xfId="1" applyFont="1" applyAlignment="1">
      <alignment horizontal="left"/>
    </xf>
    <xf numFmtId="0" fontId="6" fillId="3" borderId="7" xfId="1" applyFont="1" applyFill="1" applyBorder="1" applyAlignment="1">
      <alignment horizontal="center"/>
    </xf>
    <xf numFmtId="0" fontId="6" fillId="3" borderId="8" xfId="1" applyFont="1" applyFill="1" applyBorder="1" applyAlignment="1">
      <alignment horizontal="center"/>
    </xf>
    <xf numFmtId="0" fontId="6" fillId="3" borderId="9" xfId="1" applyFont="1" applyFill="1" applyBorder="1" applyAlignment="1">
      <alignment horizontal="center"/>
    </xf>
    <xf numFmtId="0" fontId="1" fillId="6" borderId="0" xfId="1" applyFill="1"/>
    <xf numFmtId="169" fontId="8" fillId="0" borderId="10" xfId="1" applyNumberFormat="1" applyFont="1" applyBorder="1" applyAlignment="1">
      <alignment horizontal="center"/>
    </xf>
    <xf numFmtId="169" fontId="8" fillId="0" borderId="0" xfId="1" applyNumberFormat="1" applyFont="1" applyBorder="1" applyAlignment="1">
      <alignment horizontal="center"/>
    </xf>
    <xf numFmtId="164" fontId="8" fillId="0" borderId="0" xfId="1" applyNumberFormat="1" applyFont="1" applyBorder="1" applyAlignment="1">
      <alignment horizontal="center"/>
    </xf>
    <xf numFmtId="10" fontId="8" fillId="0" borderId="11" xfId="1" applyNumberFormat="1" applyFont="1" applyBorder="1" applyAlignment="1">
      <alignment horizontal="center"/>
    </xf>
    <xf numFmtId="170" fontId="1" fillId="0" borderId="0" xfId="1" applyNumberFormat="1" applyAlignment="1">
      <alignment horizontal="center"/>
    </xf>
    <xf numFmtId="0" fontId="1" fillId="0" borderId="0" xfId="1" applyNumberFormat="1"/>
    <xf numFmtId="0" fontId="1" fillId="3" borderId="0" xfId="1" applyFill="1" applyAlignment="1">
      <alignment horizontal="left" vertical="top"/>
    </xf>
    <xf numFmtId="171" fontId="1" fillId="0" borderId="0" xfId="1" applyNumberFormat="1" applyAlignment="1">
      <alignment horizontal="left"/>
    </xf>
    <xf numFmtId="0" fontId="1" fillId="0" borderId="13" xfId="1" applyBorder="1" applyAlignment="1">
      <alignment horizontal="center"/>
    </xf>
    <xf numFmtId="0" fontId="1" fillId="0" borderId="0" xfId="1" applyBorder="1" applyAlignment="1">
      <alignment horizontal="center"/>
    </xf>
    <xf numFmtId="38" fontId="1" fillId="0" borderId="0" xfId="1" applyNumberFormat="1" applyBorder="1" applyAlignment="1">
      <alignment horizontal="center"/>
    </xf>
    <xf numFmtId="10" fontId="1" fillId="0" borderId="0" xfId="1" applyNumberFormat="1" applyBorder="1" applyAlignment="1">
      <alignment horizontal="center"/>
    </xf>
    <xf numFmtId="10" fontId="1" fillId="0" borderId="14" xfId="1" applyNumberFormat="1" applyBorder="1" applyAlignment="1">
      <alignment horizontal="center"/>
    </xf>
    <xf numFmtId="0" fontId="1" fillId="3" borderId="0" xfId="1" applyFill="1" applyBorder="1" applyAlignment="1"/>
    <xf numFmtId="0" fontId="5" fillId="0" borderId="15" xfId="1" applyFont="1" applyBorder="1" applyAlignment="1">
      <alignment horizontal="center"/>
    </xf>
    <xf numFmtId="0" fontId="5" fillId="0" borderId="16" xfId="1" applyFont="1" applyBorder="1" applyAlignment="1">
      <alignment horizontal="center"/>
    </xf>
    <xf numFmtId="0" fontId="5" fillId="0" borderId="17" xfId="1" applyFont="1" applyBorder="1" applyAlignment="1">
      <alignment horizontal="right"/>
    </xf>
    <xf numFmtId="165" fontId="5" fillId="7" borderId="18" xfId="1" applyNumberFormat="1" applyFont="1" applyFill="1" applyBorder="1" applyAlignment="1">
      <alignment horizontal="center"/>
    </xf>
    <xf numFmtId="165" fontId="7" fillId="4" borderId="19" xfId="1" applyNumberFormat="1" applyFont="1" applyFill="1" applyBorder="1" applyAlignment="1">
      <alignment horizontal="center"/>
    </xf>
    <xf numFmtId="38" fontId="1" fillId="8" borderId="20" xfId="1" applyNumberFormat="1" applyFill="1" applyBorder="1"/>
    <xf numFmtId="164" fontId="7" fillId="4" borderId="21" xfId="1" applyNumberFormat="1" applyFont="1" applyFill="1" applyBorder="1" applyAlignment="1">
      <alignment horizontal="center"/>
    </xf>
    <xf numFmtId="165" fontId="1" fillId="8" borderId="20" xfId="1" applyNumberFormat="1" applyFill="1" applyBorder="1" applyAlignment="1">
      <alignment horizontal="center"/>
    </xf>
    <xf numFmtId="165" fontId="7" fillId="4" borderId="21" xfId="1" applyNumberFormat="1" applyFont="1" applyFill="1" applyBorder="1" applyAlignment="1">
      <alignment horizontal="center"/>
    </xf>
    <xf numFmtId="170" fontId="1" fillId="3" borderId="0" xfId="1" applyNumberFormat="1" applyFill="1" applyAlignment="1">
      <alignment horizontal="left"/>
    </xf>
    <xf numFmtId="0" fontId="5" fillId="0" borderId="0" xfId="1" applyFont="1"/>
    <xf numFmtId="170" fontId="1" fillId="8" borderId="20" xfId="1" applyNumberFormat="1" applyFill="1" applyBorder="1" applyAlignment="1">
      <alignment horizontal="right"/>
    </xf>
    <xf numFmtId="170" fontId="7" fillId="4" borderId="21" xfId="1" applyNumberFormat="1" applyFont="1" applyFill="1" applyBorder="1" applyAlignment="1">
      <alignment horizontal="center"/>
    </xf>
    <xf numFmtId="0" fontId="1" fillId="0" borderId="0" xfId="1" applyAlignment="1">
      <alignment horizontal="left"/>
    </xf>
    <xf numFmtId="165" fontId="1" fillId="0" borderId="0" xfId="1" applyNumberFormat="1" applyAlignment="1"/>
    <xf numFmtId="170" fontId="1" fillId="7" borderId="20" xfId="1" applyNumberFormat="1" applyFill="1" applyBorder="1" applyAlignment="1">
      <alignment horizontal="center"/>
    </xf>
    <xf numFmtId="0" fontId="1" fillId="0" borderId="0" xfId="1" applyAlignment="1">
      <alignment horizontal="right"/>
    </xf>
    <xf numFmtId="37" fontId="1" fillId="8" borderId="20" xfId="1" applyNumberFormat="1" applyFill="1" applyBorder="1" applyAlignment="1">
      <alignment horizontal="right"/>
    </xf>
    <xf numFmtId="38" fontId="7" fillId="4" borderId="22" xfId="1" applyNumberFormat="1" applyFont="1" applyFill="1" applyBorder="1" applyAlignment="1">
      <alignment horizontal="center"/>
    </xf>
    <xf numFmtId="0" fontId="5" fillId="0" borderId="0" xfId="1" applyFont="1" applyAlignment="1">
      <alignment horizontal="right"/>
    </xf>
    <xf numFmtId="0" fontId="5" fillId="0" borderId="0" xfId="1" applyFont="1" applyBorder="1" applyAlignment="1">
      <alignment horizontal="right"/>
    </xf>
    <xf numFmtId="174" fontId="1" fillId="0" borderId="0" xfId="1" applyNumberFormat="1" applyBorder="1" applyAlignment="1">
      <alignment horizontal="right"/>
    </xf>
    <xf numFmtId="0" fontId="1" fillId="0" borderId="0" xfId="1" applyNumberFormat="1" applyBorder="1"/>
    <xf numFmtId="174" fontId="5" fillId="0" borderId="0" xfId="1" applyNumberFormat="1" applyFont="1" applyFill="1" applyBorder="1" applyAlignment="1">
      <alignment horizontal="center"/>
    </xf>
    <xf numFmtId="169" fontId="5" fillId="0" borderId="0" xfId="1" applyNumberFormat="1" applyFont="1" applyFill="1" applyBorder="1" applyAlignment="1">
      <alignment horizontal="center"/>
    </xf>
    <xf numFmtId="0" fontId="5" fillId="0" borderId="0" xfId="1" quotePrefix="1" applyFont="1" applyBorder="1" applyAlignment="1">
      <alignment horizontal="right"/>
    </xf>
    <xf numFmtId="170" fontId="1" fillId="5" borderId="0" xfId="1" applyNumberFormat="1" applyFont="1" applyFill="1" applyBorder="1" applyAlignment="1">
      <alignment horizontal="center"/>
    </xf>
    <xf numFmtId="38" fontId="1" fillId="0" borderId="0" xfId="1" applyNumberFormat="1" applyAlignment="1">
      <alignment horizontal="left"/>
    </xf>
    <xf numFmtId="170" fontId="10" fillId="0" borderId="0" xfId="1" applyNumberFormat="1" applyFont="1" applyFill="1" applyBorder="1" applyAlignment="1">
      <alignment horizontal="center"/>
    </xf>
    <xf numFmtId="170" fontId="1" fillId="4" borderId="0" xfId="1" applyNumberFormat="1" applyFill="1" applyBorder="1" applyAlignment="1">
      <alignment horizontal="center"/>
    </xf>
    <xf numFmtId="170" fontId="1" fillId="5" borderId="0" xfId="1" applyNumberFormat="1" applyFill="1" applyBorder="1" applyAlignment="1">
      <alignment horizontal="center"/>
    </xf>
    <xf numFmtId="175" fontId="5" fillId="0" borderId="0" xfId="1" applyNumberFormat="1" applyFont="1" applyAlignment="1">
      <alignment horizontal="right"/>
    </xf>
    <xf numFmtId="176" fontId="1" fillId="5" borderId="0" xfId="1" applyNumberFormat="1" applyFill="1" applyBorder="1" applyAlignment="1">
      <alignment horizontal="center"/>
    </xf>
    <xf numFmtId="170" fontId="7" fillId="0" borderId="0" xfId="1" applyNumberFormat="1" applyFont="1" applyFill="1" applyBorder="1" applyAlignment="1">
      <alignment horizontal="right"/>
    </xf>
    <xf numFmtId="38" fontId="1" fillId="5" borderId="0" xfId="1" applyNumberFormat="1" applyFill="1" applyBorder="1" applyAlignment="1">
      <alignment horizontal="center"/>
    </xf>
    <xf numFmtId="170" fontId="10" fillId="0" borderId="0" xfId="1" applyNumberFormat="1" applyFont="1" applyFill="1" applyBorder="1" applyAlignment="1">
      <alignment horizontal="left"/>
    </xf>
    <xf numFmtId="3" fontId="1" fillId="5" borderId="0" xfId="1" applyNumberFormat="1" applyFill="1" applyBorder="1" applyAlignment="1">
      <alignment horizontal="center"/>
    </xf>
    <xf numFmtId="0" fontId="1" fillId="0" borderId="0" xfId="1" applyBorder="1" applyAlignment="1">
      <alignment horizontal="right"/>
    </xf>
    <xf numFmtId="0" fontId="1" fillId="0" borderId="0" xfId="1" applyBorder="1"/>
    <xf numFmtId="0" fontId="1" fillId="0" borderId="0" xfId="2" applyFont="1" applyBorder="1" applyAlignment="1">
      <alignment horizontal="right"/>
    </xf>
    <xf numFmtId="169" fontId="1" fillId="0" borderId="0" xfId="2" applyNumberFormat="1" applyBorder="1" applyAlignment="1">
      <alignment horizontal="right"/>
    </xf>
    <xf numFmtId="169" fontId="8" fillId="0" borderId="30" xfId="1" applyNumberFormat="1" applyFont="1" applyBorder="1" applyAlignment="1">
      <alignment horizontal="center"/>
    </xf>
    <xf numFmtId="169" fontId="8" fillId="0" borderId="31" xfId="1" applyNumberFormat="1" applyFont="1" applyBorder="1" applyAlignment="1">
      <alignment horizontal="center"/>
    </xf>
    <xf numFmtId="164" fontId="8" fillId="0" borderId="31" xfId="1" applyNumberFormat="1" applyFont="1" applyBorder="1" applyAlignment="1">
      <alignment horizontal="center"/>
    </xf>
    <xf numFmtId="10" fontId="8" fillId="0" borderId="32" xfId="1" applyNumberFormat="1" applyFont="1" applyBorder="1" applyAlignment="1">
      <alignment horizontal="center"/>
    </xf>
    <xf numFmtId="169" fontId="1" fillId="0" borderId="0" xfId="1" applyNumberFormat="1" applyAlignment="1">
      <alignment horizontal="center"/>
    </xf>
    <xf numFmtId="10" fontId="1" fillId="0" borderId="0" xfId="1" applyNumberFormat="1" applyAlignment="1">
      <alignment horizontal="center"/>
    </xf>
    <xf numFmtId="10" fontId="1" fillId="0" borderId="0" xfId="1" applyNumberFormat="1"/>
    <xf numFmtId="0" fontId="8" fillId="0" borderId="0" xfId="2" applyFont="1" applyBorder="1" applyAlignment="1">
      <alignment horizontal="right"/>
    </xf>
    <xf numFmtId="0" fontId="8" fillId="0" borderId="0" xfId="2" applyNumberFormat="1" applyFont="1" applyBorder="1" applyAlignment="1">
      <alignment horizontal="center"/>
    </xf>
    <xf numFmtId="170" fontId="8" fillId="0" borderId="0" xfId="1" applyNumberFormat="1" applyFont="1"/>
    <xf numFmtId="0" fontId="8" fillId="0" borderId="0" xfId="1" applyFont="1" applyBorder="1" applyAlignment="1">
      <alignment horizontal="right"/>
    </xf>
    <xf numFmtId="0" fontId="8" fillId="0" borderId="0" xfId="1" applyFont="1" applyBorder="1"/>
    <xf numFmtId="0" fontId="8" fillId="0" borderId="0" xfId="1" applyFont="1"/>
    <xf numFmtId="0" fontId="1" fillId="0" borderId="0" xfId="1" applyAlignment="1">
      <alignment horizontal="center"/>
    </xf>
    <xf numFmtId="165" fontId="8" fillId="0" borderId="0" xfId="1" applyNumberFormat="1" applyFont="1"/>
    <xf numFmtId="165" fontId="8" fillId="0" borderId="0" xfId="1" applyNumberFormat="1" applyFont="1" applyBorder="1"/>
    <xf numFmtId="170" fontId="8" fillId="0" borderId="0" xfId="1" applyNumberFormat="1" applyFont="1" applyBorder="1"/>
    <xf numFmtId="177" fontId="8" fillId="0" borderId="0" xfId="1" applyNumberFormat="1" applyFont="1" applyBorder="1"/>
    <xf numFmtId="176" fontId="8" fillId="0" borderId="0" xfId="1" applyNumberFormat="1" applyFont="1"/>
    <xf numFmtId="0" fontId="8" fillId="0" borderId="0" xfId="1" applyNumberFormat="1" applyFont="1"/>
    <xf numFmtId="0" fontId="9" fillId="0" borderId="0" xfId="1" applyFont="1" applyBorder="1" applyAlignment="1">
      <alignment horizontal="left"/>
    </xf>
    <xf numFmtId="0" fontId="11" fillId="0" borderId="0" xfId="1" applyFont="1" applyBorder="1"/>
    <xf numFmtId="0" fontId="8" fillId="0" borderId="0" xfId="1" applyFont="1" applyBorder="1" applyAlignment="1">
      <alignment horizontal="center"/>
    </xf>
    <xf numFmtId="0" fontId="8" fillId="0" borderId="0" xfId="1" applyFont="1" applyAlignment="1">
      <alignment horizontal="center"/>
    </xf>
    <xf numFmtId="170" fontId="8" fillId="0" borderId="0" xfId="1" applyNumberFormat="1" applyFont="1" applyBorder="1" applyAlignment="1">
      <alignment horizontal="center"/>
    </xf>
    <xf numFmtId="0" fontId="8" fillId="0" borderId="0" xfId="1" applyNumberFormat="1" applyFont="1" applyBorder="1" applyAlignment="1">
      <alignment horizontal="center"/>
    </xf>
    <xf numFmtId="0" fontId="9" fillId="0" borderId="0" xfId="1" applyFont="1" applyBorder="1"/>
    <xf numFmtId="165" fontId="8" fillId="0" borderId="0" xfId="1" applyNumberFormat="1" applyFont="1" applyBorder="1" applyAlignment="1">
      <alignment horizontal="center"/>
    </xf>
    <xf numFmtId="167" fontId="1" fillId="0" borderId="0" xfId="1" applyNumberFormat="1"/>
    <xf numFmtId="0" fontId="10" fillId="0" borderId="0" xfId="1" applyNumberFormat="1" applyFont="1" applyFill="1" applyBorder="1" applyAlignment="1">
      <alignment horizontal="left"/>
    </xf>
    <xf numFmtId="0" fontId="1" fillId="0" borderId="0" xfId="1" applyNumberFormat="1" applyAlignment="1">
      <alignment horizontal="left"/>
    </xf>
    <xf numFmtId="0" fontId="8" fillId="0" borderId="0" xfId="1" applyNumberFormat="1" applyFont="1" applyBorder="1"/>
    <xf numFmtId="165" fontId="1" fillId="0" borderId="0" xfId="1" applyNumberFormat="1"/>
    <xf numFmtId="178" fontId="8" fillId="0" borderId="0" xfId="1" applyNumberFormat="1" applyFont="1" applyBorder="1"/>
    <xf numFmtId="0" fontId="1" fillId="0" borderId="28" xfId="1" applyBorder="1" applyAlignment="1">
      <alignment horizontal="center"/>
    </xf>
    <xf numFmtId="0" fontId="1" fillId="0" borderId="12" xfId="1" applyBorder="1" applyAlignment="1">
      <alignment horizontal="center"/>
    </xf>
    <xf numFmtId="38" fontId="1" fillId="0" borderId="12" xfId="1" applyNumberFormat="1" applyBorder="1" applyAlignment="1">
      <alignment horizontal="center"/>
    </xf>
    <xf numFmtId="10" fontId="1" fillId="0" borderId="12" xfId="1" applyNumberFormat="1" applyBorder="1" applyAlignment="1">
      <alignment horizontal="center"/>
    </xf>
    <xf numFmtId="10" fontId="1" fillId="0" borderId="33" xfId="1" applyNumberFormat="1" applyBorder="1" applyAlignment="1">
      <alignment horizontal="center"/>
    </xf>
    <xf numFmtId="10" fontId="1" fillId="5" borderId="0" xfId="1" applyNumberFormat="1" applyFill="1" applyBorder="1" applyAlignment="1">
      <alignment horizontal="center"/>
    </xf>
    <xf numFmtId="10" fontId="1" fillId="5" borderId="0" xfId="1" applyNumberFormat="1" applyFont="1" applyFill="1" applyBorder="1" applyAlignment="1">
      <alignment horizontal="center"/>
    </xf>
    <xf numFmtId="10" fontId="10" fillId="0" borderId="0" xfId="1" applyNumberFormat="1" applyFont="1" applyFill="1" applyBorder="1" applyAlignment="1">
      <alignment horizontal="center"/>
    </xf>
    <xf numFmtId="0" fontId="6" fillId="3" borderId="0" xfId="1" applyFont="1" applyFill="1" applyBorder="1" applyAlignment="1">
      <alignment horizontal="center" vertical="center" wrapText="1"/>
    </xf>
    <xf numFmtId="0" fontId="1" fillId="0" borderId="12" xfId="1" applyBorder="1" applyAlignment="1">
      <alignment vertical="center" wrapText="1"/>
    </xf>
    <xf numFmtId="0" fontId="1" fillId="0" borderId="12" xfId="1" applyBorder="1" applyAlignment="1">
      <alignment horizontal="center" vertical="center" wrapText="1"/>
    </xf>
    <xf numFmtId="0" fontId="7" fillId="4" borderId="5" xfId="1" applyFont="1" applyFill="1" applyBorder="1" applyAlignment="1">
      <alignment horizontal="center"/>
    </xf>
    <xf numFmtId="0" fontId="7" fillId="4" borderId="6" xfId="1" applyFont="1" applyFill="1" applyBorder="1" applyAlignment="1"/>
    <xf numFmtId="0" fontId="5" fillId="5" borderId="0" xfId="1" applyFont="1" applyFill="1" applyAlignment="1">
      <alignment horizontal="left"/>
    </xf>
    <xf numFmtId="0" fontId="1" fillId="0" borderId="0" xfId="1" applyAlignment="1"/>
    <xf numFmtId="0" fontId="5" fillId="0" borderId="0" xfId="1" applyFont="1" applyAlignment="1">
      <alignment horizontal="center"/>
    </xf>
    <xf numFmtId="0" fontId="5" fillId="0" borderId="0" xfId="1" applyFont="1" applyAlignment="1"/>
    <xf numFmtId="170" fontId="1" fillId="5" borderId="0" xfId="1" applyNumberFormat="1" applyFill="1" applyAlignment="1">
      <alignment horizontal="left"/>
    </xf>
    <xf numFmtId="172" fontId="1" fillId="5" borderId="0" xfId="1" applyNumberFormat="1" applyFill="1" applyAlignment="1">
      <alignment horizontal="left"/>
    </xf>
    <xf numFmtId="37" fontId="1" fillId="5" borderId="0" xfId="1" applyNumberFormat="1" applyFill="1" applyAlignment="1">
      <alignment horizontal="left"/>
    </xf>
    <xf numFmtId="173" fontId="1" fillId="5" borderId="0" xfId="1" applyNumberFormat="1" applyFill="1" applyAlignment="1">
      <alignment horizontal="left"/>
    </xf>
    <xf numFmtId="0" fontId="1" fillId="5" borderId="26" xfId="1" applyFill="1" applyBorder="1" applyAlignment="1">
      <alignment horizontal="center" vertical="center" wrapText="1"/>
    </xf>
    <xf numFmtId="0" fontId="1" fillId="5" borderId="28" xfId="1" applyFill="1" applyBorder="1" applyAlignment="1">
      <alignment horizontal="center" vertical="center" wrapText="1"/>
    </xf>
    <xf numFmtId="165" fontId="1" fillId="5" borderId="26" xfId="1" applyNumberFormat="1" applyFill="1" applyBorder="1" applyAlignment="1">
      <alignment horizontal="center" vertical="center" wrapText="1"/>
    </xf>
    <xf numFmtId="0" fontId="1" fillId="5" borderId="27" xfId="1" applyFill="1" applyBorder="1" applyAlignment="1">
      <alignment horizontal="center" vertical="center" wrapText="1"/>
    </xf>
    <xf numFmtId="0" fontId="1" fillId="5" borderId="29" xfId="1" applyFill="1" applyBorder="1" applyAlignment="1">
      <alignment horizontal="center" vertical="center" wrapText="1"/>
    </xf>
    <xf numFmtId="38" fontId="1" fillId="5" borderId="0" xfId="1" applyNumberFormat="1" applyFill="1" applyAlignment="1"/>
    <xf numFmtId="0" fontId="1" fillId="0" borderId="0" xfId="1" applyAlignment="1">
      <alignment horizontal="left"/>
    </xf>
    <xf numFmtId="0" fontId="1" fillId="5" borderId="0" xfId="1" applyFill="1" applyAlignment="1">
      <alignment horizontal="left"/>
    </xf>
    <xf numFmtId="0" fontId="5" fillId="5" borderId="23" xfId="1" applyFont="1" applyFill="1" applyBorder="1" applyAlignment="1">
      <alignment horizontal="center"/>
    </xf>
    <xf numFmtId="0" fontId="1" fillId="0" borderId="24" xfId="1" applyBorder="1" applyAlignment="1">
      <alignment horizontal="center"/>
    </xf>
    <xf numFmtId="0" fontId="1" fillId="0" borderId="25" xfId="1" applyBorder="1" applyAlignment="1">
      <alignment horizontal="center"/>
    </xf>
    <xf numFmtId="0" fontId="1" fillId="5" borderId="0" xfId="1" applyFill="1" applyAlignment="1">
      <alignment wrapText="1"/>
    </xf>
    <xf numFmtId="0" fontId="5" fillId="4" borderId="23" xfId="1" applyFont="1" applyFill="1" applyBorder="1" applyAlignment="1">
      <alignment horizontal="center"/>
    </xf>
  </cellXfs>
  <cellStyles count="3">
    <cellStyle name="Normal" xfId="0" builtinId="0"/>
    <cellStyle name="Normal 2" xfId="1" xr:uid="{00000000-0005-0000-0000-000002000000}"/>
    <cellStyle name="Normal_2011 Sem B Wk 6 ELN Pricer - Full" xfId="2"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b="1"/>
              <a:t>ELN payoff</a:t>
            </a:r>
            <a:r>
              <a:rPr lang="en-US" b="1" baseline="0"/>
              <a:t> diagram at maturity</a:t>
            </a:r>
            <a:endParaRPr lang="en-US" b="1"/>
          </a:p>
        </c:rich>
      </c:tx>
      <c:overlay val="1"/>
      <c:spPr>
        <a:noFill/>
        <a:ln w="25400">
          <a:noFill/>
        </a:ln>
      </c:spPr>
    </c:title>
    <c:autoTitleDeleted val="0"/>
    <c:plotArea>
      <c:layout>
        <c:manualLayout>
          <c:layoutTarget val="inner"/>
          <c:xMode val="edge"/>
          <c:yMode val="edge"/>
          <c:x val="0.10526330818157806"/>
          <c:y val="0.18784530386740331"/>
          <c:w val="0.87427025406366221"/>
          <c:h val="0.76344433202832884"/>
        </c:manualLayout>
      </c:layout>
      <c:lineChart>
        <c:grouping val="standard"/>
        <c:varyColors val="0"/>
        <c:ser>
          <c:idx val="0"/>
          <c:order val="0"/>
          <c:tx>
            <c:strRef>
              <c:f>'ELN Pricer'!$W$2</c:f>
              <c:strCache>
                <c:ptCount val="1"/>
                <c:pt idx="0">
                  <c:v>P/L % at maturity</c:v>
                </c:pt>
              </c:strCache>
            </c:strRef>
          </c:tx>
          <c:spPr>
            <a:ln w="25400">
              <a:solidFill>
                <a:srgbClr val="FF0000"/>
              </a:solidFill>
              <a:prstDash val="solid"/>
            </a:ln>
          </c:spPr>
          <c:marker>
            <c:symbol val="none"/>
          </c:marker>
          <c:cat>
            <c:numRef>
              <c:f>'ELN Pricer'!$S$3:$S$42</c:f>
              <c:numCache>
                <c:formatCode>_("$"* #,##0.000_);_("$"* \(#,##0.000\);_("$"* "-"???_);_(@_)</c:formatCode>
                <c:ptCount val="40"/>
                <c:pt idx="0">
                  <c:v>53.6</c:v>
                </c:pt>
                <c:pt idx="1">
                  <c:v>54.379487179487178</c:v>
                </c:pt>
                <c:pt idx="2">
                  <c:v>55.158974358974355</c:v>
                </c:pt>
                <c:pt idx="3">
                  <c:v>55.938461538461532</c:v>
                </c:pt>
                <c:pt idx="4">
                  <c:v>56.717948717948708</c:v>
                </c:pt>
                <c:pt idx="5">
                  <c:v>57.497435897435885</c:v>
                </c:pt>
                <c:pt idx="6">
                  <c:v>58.276923076923062</c:v>
                </c:pt>
                <c:pt idx="7">
                  <c:v>59.056410256410238</c:v>
                </c:pt>
                <c:pt idx="8">
                  <c:v>59.835897435897415</c:v>
                </c:pt>
                <c:pt idx="9">
                  <c:v>60.615384615384592</c:v>
                </c:pt>
                <c:pt idx="10">
                  <c:v>61.394871794871769</c:v>
                </c:pt>
                <c:pt idx="11">
                  <c:v>62.174358974358945</c:v>
                </c:pt>
                <c:pt idx="12">
                  <c:v>62.953846153846122</c:v>
                </c:pt>
                <c:pt idx="13">
                  <c:v>63.733333333333299</c:v>
                </c:pt>
                <c:pt idx="14">
                  <c:v>64.512820512820483</c:v>
                </c:pt>
                <c:pt idx="15">
                  <c:v>65.292307692307659</c:v>
                </c:pt>
                <c:pt idx="16">
                  <c:v>66.071794871794836</c:v>
                </c:pt>
                <c:pt idx="17">
                  <c:v>66.851282051282013</c:v>
                </c:pt>
                <c:pt idx="18">
                  <c:v>67.630769230769189</c:v>
                </c:pt>
                <c:pt idx="19">
                  <c:v>68.410256410256366</c:v>
                </c:pt>
                <c:pt idx="20">
                  <c:v>69.189743589743543</c:v>
                </c:pt>
                <c:pt idx="21">
                  <c:v>69.96923076923072</c:v>
                </c:pt>
                <c:pt idx="22">
                  <c:v>70.748717948717896</c:v>
                </c:pt>
                <c:pt idx="23">
                  <c:v>71.528205128205073</c:v>
                </c:pt>
                <c:pt idx="24">
                  <c:v>72.30769230769225</c:v>
                </c:pt>
                <c:pt idx="25">
                  <c:v>73.087179487179426</c:v>
                </c:pt>
                <c:pt idx="26">
                  <c:v>73.866666666666603</c:v>
                </c:pt>
                <c:pt idx="27">
                  <c:v>74.64615384615378</c:v>
                </c:pt>
                <c:pt idx="28">
                  <c:v>75.425641025640957</c:v>
                </c:pt>
                <c:pt idx="29">
                  <c:v>76.205128205128133</c:v>
                </c:pt>
                <c:pt idx="30">
                  <c:v>76.98461538461531</c:v>
                </c:pt>
                <c:pt idx="31">
                  <c:v>77.764102564102487</c:v>
                </c:pt>
                <c:pt idx="32">
                  <c:v>78.543589743589663</c:v>
                </c:pt>
                <c:pt idx="33">
                  <c:v>79.32307692307684</c:v>
                </c:pt>
                <c:pt idx="34">
                  <c:v>80.102564102564017</c:v>
                </c:pt>
                <c:pt idx="35">
                  <c:v>80.882051282051194</c:v>
                </c:pt>
                <c:pt idx="36">
                  <c:v>81.66153846153837</c:v>
                </c:pt>
                <c:pt idx="37">
                  <c:v>82.441025641025547</c:v>
                </c:pt>
                <c:pt idx="38">
                  <c:v>83.220512820512724</c:v>
                </c:pt>
                <c:pt idx="39">
                  <c:v>83.999999999999901</c:v>
                </c:pt>
              </c:numCache>
            </c:numRef>
          </c:cat>
          <c:val>
            <c:numRef>
              <c:f>'ELN Pricer'!$W$3:$W$44</c:f>
              <c:numCache>
                <c:formatCode>0.00%</c:formatCode>
                <c:ptCount val="42"/>
                <c:pt idx="0">
                  <c:v>-0.17771610648576419</c:v>
                </c:pt>
                <c:pt idx="1">
                  <c:v>-0.16575790214074282</c:v>
                </c:pt>
                <c:pt idx="2">
                  <c:v>-0.15379969779572145</c:v>
                </c:pt>
                <c:pt idx="3">
                  <c:v>-0.14184149345070007</c:v>
                </c:pt>
                <c:pt idx="4">
                  <c:v>-0.1298832891056787</c:v>
                </c:pt>
                <c:pt idx="5">
                  <c:v>-0.11792508476065722</c:v>
                </c:pt>
                <c:pt idx="6">
                  <c:v>-0.10596688041563596</c:v>
                </c:pt>
                <c:pt idx="7">
                  <c:v>-9.4008676070614472E-2</c:v>
                </c:pt>
                <c:pt idx="8">
                  <c:v>-8.2050471725593099E-2</c:v>
                </c:pt>
                <c:pt idx="9">
                  <c:v>-7.0092267380571727E-2</c:v>
                </c:pt>
                <c:pt idx="10">
                  <c:v>-5.8134063035550465E-2</c:v>
                </c:pt>
                <c:pt idx="11">
                  <c:v>-4.6175858690529092E-2</c:v>
                </c:pt>
                <c:pt idx="12">
                  <c:v>-3.421765434550772E-2</c:v>
                </c:pt>
                <c:pt idx="13">
                  <c:v>-2.2259450000486347E-2</c:v>
                </c:pt>
                <c:pt idx="14">
                  <c:v>-1.0301245655464863E-2</c:v>
                </c:pt>
                <c:pt idx="15">
                  <c:v>1.6569586895565092E-3</c:v>
                </c:pt>
                <c:pt idx="16">
                  <c:v>1.3615163034577993E-2</c:v>
                </c:pt>
                <c:pt idx="17">
                  <c:v>2.5573367379599254E-2</c:v>
                </c:pt>
                <c:pt idx="18">
                  <c:v>2.7854866892794705E-2</c:v>
                </c:pt>
                <c:pt idx="19">
                  <c:v>2.7854866892794705E-2</c:v>
                </c:pt>
                <c:pt idx="20">
                  <c:v>2.7854866892794705E-2</c:v>
                </c:pt>
                <c:pt idx="21">
                  <c:v>2.7854866892794705E-2</c:v>
                </c:pt>
                <c:pt idx="22">
                  <c:v>2.7854866892794705E-2</c:v>
                </c:pt>
                <c:pt idx="23">
                  <c:v>2.7854866892794705E-2</c:v>
                </c:pt>
                <c:pt idx="24">
                  <c:v>2.7854866892794705E-2</c:v>
                </c:pt>
                <c:pt idx="25">
                  <c:v>2.7854866892794705E-2</c:v>
                </c:pt>
                <c:pt idx="26">
                  <c:v>2.7854866892794705E-2</c:v>
                </c:pt>
                <c:pt idx="27">
                  <c:v>2.7854866892794705E-2</c:v>
                </c:pt>
                <c:pt idx="28">
                  <c:v>2.7854866892794705E-2</c:v>
                </c:pt>
                <c:pt idx="29">
                  <c:v>2.7854866892794705E-2</c:v>
                </c:pt>
                <c:pt idx="30">
                  <c:v>2.7854866892794705E-2</c:v>
                </c:pt>
                <c:pt idx="31">
                  <c:v>2.7854866892794705E-2</c:v>
                </c:pt>
                <c:pt idx="32">
                  <c:v>2.7854866892794705E-2</c:v>
                </c:pt>
                <c:pt idx="33">
                  <c:v>2.7854866892794705E-2</c:v>
                </c:pt>
                <c:pt idx="34">
                  <c:v>2.7854866892794705E-2</c:v>
                </c:pt>
                <c:pt idx="35">
                  <c:v>2.7854866892794705E-2</c:v>
                </c:pt>
                <c:pt idx="36">
                  <c:v>2.7854866892794705E-2</c:v>
                </c:pt>
                <c:pt idx="37">
                  <c:v>2.7854866892794705E-2</c:v>
                </c:pt>
                <c:pt idx="38">
                  <c:v>2.7854866892794705E-2</c:v>
                </c:pt>
                <c:pt idx="39">
                  <c:v>2.7854866892794705E-2</c:v>
                </c:pt>
              </c:numCache>
            </c:numRef>
          </c:val>
          <c:smooth val="0"/>
          <c:extLst>
            <c:ext xmlns:c16="http://schemas.microsoft.com/office/drawing/2014/chart" uri="{C3380CC4-5D6E-409C-BE32-E72D297353CC}">
              <c16:uniqueId val="{00000000-2D40-4645-83A9-3532077F358A}"/>
            </c:ext>
          </c:extLst>
        </c:ser>
        <c:ser>
          <c:idx val="1"/>
          <c:order val="1"/>
          <c:tx>
            <c:strRef>
              <c:f>'ELN Pricer'!$X$2</c:f>
              <c:strCache>
                <c:ptCount val="1"/>
                <c:pt idx="0">
                  <c:v>Stock P/L % at maturity</c:v>
                </c:pt>
              </c:strCache>
            </c:strRef>
          </c:tx>
          <c:marker>
            <c:symbol val="none"/>
          </c:marker>
          <c:val>
            <c:numRef>
              <c:f>'ELN Pricer'!$X$3:$X$42</c:f>
              <c:numCache>
                <c:formatCode>0.000%</c:formatCode>
                <c:ptCount val="40"/>
                <c:pt idx="0">
                  <c:v>-0.23428571428571432</c:v>
                </c:pt>
                <c:pt idx="1">
                  <c:v>-0.2231501831501832</c:v>
                </c:pt>
                <c:pt idx="2">
                  <c:v>-0.21201465201465208</c:v>
                </c:pt>
                <c:pt idx="3">
                  <c:v>-0.20087912087912096</c:v>
                </c:pt>
                <c:pt idx="4">
                  <c:v>-0.18974358974358985</c:v>
                </c:pt>
                <c:pt idx="5">
                  <c:v>-0.17860805860805884</c:v>
                </c:pt>
                <c:pt idx="6">
                  <c:v>-0.16747252747252772</c:v>
                </c:pt>
                <c:pt idx="7">
                  <c:v>-0.1563369963369966</c:v>
                </c:pt>
                <c:pt idx="8">
                  <c:v>-0.14520146520146548</c:v>
                </c:pt>
                <c:pt idx="9">
                  <c:v>-0.13406593406593437</c:v>
                </c:pt>
                <c:pt idx="10">
                  <c:v>-0.12293040293040336</c:v>
                </c:pt>
                <c:pt idx="11">
                  <c:v>-0.11179487179487224</c:v>
                </c:pt>
                <c:pt idx="12">
                  <c:v>-0.10065934065934112</c:v>
                </c:pt>
                <c:pt idx="13">
                  <c:v>-8.9523809523810005E-2</c:v>
                </c:pt>
                <c:pt idx="14">
                  <c:v>-7.8388278388278776E-2</c:v>
                </c:pt>
                <c:pt idx="15">
                  <c:v>-6.7252747252747769E-2</c:v>
                </c:pt>
                <c:pt idx="16">
                  <c:v>-5.6117216117216651E-2</c:v>
                </c:pt>
                <c:pt idx="17">
                  <c:v>-4.4981684981685532E-2</c:v>
                </c:pt>
                <c:pt idx="18">
                  <c:v>-3.3846153846154414E-2</c:v>
                </c:pt>
                <c:pt idx="19">
                  <c:v>-2.2710622710623296E-2</c:v>
                </c:pt>
                <c:pt idx="20">
                  <c:v>-1.1575091575092289E-2</c:v>
                </c:pt>
                <c:pt idx="21">
                  <c:v>-4.3956043956117075E-4</c:v>
                </c:pt>
                <c:pt idx="22">
                  <c:v>1.0695970695969947E-2</c:v>
                </c:pt>
                <c:pt idx="23">
                  <c:v>2.1831501831500955E-2</c:v>
                </c:pt>
                <c:pt idx="24">
                  <c:v>3.2967032967032184E-2</c:v>
                </c:pt>
                <c:pt idx="25">
                  <c:v>4.4102564102563191E-2</c:v>
                </c:pt>
                <c:pt idx="26">
                  <c:v>5.523809523809442E-2</c:v>
                </c:pt>
                <c:pt idx="27">
                  <c:v>6.6373626373625427E-2</c:v>
                </c:pt>
                <c:pt idx="28">
                  <c:v>7.7509157509156434E-2</c:v>
                </c:pt>
                <c:pt idx="29">
                  <c:v>8.8644688644687664E-2</c:v>
                </c:pt>
                <c:pt idx="30">
                  <c:v>9.9780219780218671E-2</c:v>
                </c:pt>
                <c:pt idx="31">
                  <c:v>0.1109157509157499</c:v>
                </c:pt>
                <c:pt idx="32">
                  <c:v>0.12205128205128091</c:v>
                </c:pt>
                <c:pt idx="33">
                  <c:v>0.13318681318681191</c:v>
                </c:pt>
                <c:pt idx="34">
                  <c:v>0.14432234432234314</c:v>
                </c:pt>
                <c:pt idx="35">
                  <c:v>0.15545787545787415</c:v>
                </c:pt>
                <c:pt idx="36">
                  <c:v>0.16659340659340538</c:v>
                </c:pt>
                <c:pt idx="37">
                  <c:v>0.17772893772893639</c:v>
                </c:pt>
                <c:pt idx="38">
                  <c:v>0.18886446886446739</c:v>
                </c:pt>
                <c:pt idx="39">
                  <c:v>0.19999999999999862</c:v>
                </c:pt>
              </c:numCache>
            </c:numRef>
          </c:val>
          <c:smooth val="0"/>
          <c:extLst>
            <c:ext xmlns:c16="http://schemas.microsoft.com/office/drawing/2014/chart" uri="{C3380CC4-5D6E-409C-BE32-E72D297353CC}">
              <c16:uniqueId val="{00000002-2D40-4645-83A9-3532077F358A}"/>
            </c:ext>
          </c:extLst>
        </c:ser>
        <c:dLbls>
          <c:showLegendKey val="0"/>
          <c:showVal val="0"/>
          <c:showCatName val="0"/>
          <c:showSerName val="0"/>
          <c:showPercent val="0"/>
          <c:showBubbleSize val="0"/>
        </c:dLbls>
        <c:smooth val="0"/>
        <c:axId val="476283168"/>
        <c:axId val="476284344"/>
      </c:lineChart>
      <c:catAx>
        <c:axId val="476283168"/>
        <c:scaling>
          <c:orientation val="minMax"/>
        </c:scaling>
        <c:delete val="0"/>
        <c:axPos val="b"/>
        <c:numFmt formatCode="_(\$* #,##0.00_);_(\$* \(#,##0.00\);_(\$* &quot;-&quot;??_);_(@_)"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6284344"/>
        <c:crosses val="autoZero"/>
        <c:auto val="1"/>
        <c:lblAlgn val="ctr"/>
        <c:lblOffset val="100"/>
        <c:tickLblSkip val="5"/>
        <c:tickMarkSkip val="1"/>
        <c:noMultiLvlLbl val="0"/>
      </c:catAx>
      <c:valAx>
        <c:axId val="476284344"/>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628316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76200</xdr:colOff>
      <xdr:row>18</xdr:row>
      <xdr:rowOff>114300</xdr:rowOff>
    </xdr:from>
    <xdr:to>
      <xdr:col>10</xdr:col>
      <xdr:colOff>876300</xdr:colOff>
      <xdr:row>34</xdr:row>
      <xdr:rowOff>47625</xdr:rowOff>
    </xdr:to>
    <xdr:graphicFrame macro="">
      <xdr:nvGraphicFramePr>
        <xdr:cNvPr id="2" name="Chart 26">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25400</xdr:colOff>
      <xdr:row>53</xdr:row>
      <xdr:rowOff>0</xdr:rowOff>
    </xdr:from>
    <xdr:to>
      <xdr:col>8</xdr:col>
      <xdr:colOff>1967103</xdr:colOff>
      <xdr:row>71</xdr:row>
      <xdr:rowOff>101600</xdr:rowOff>
    </xdr:to>
    <xdr:pic>
      <xdr:nvPicPr>
        <xdr:cNvPr id="4" name="Picture 3">
          <a:extLst>
            <a:ext uri="{FF2B5EF4-FFF2-40B4-BE49-F238E27FC236}">
              <a16:creationId xmlns:a16="http://schemas.microsoft.com/office/drawing/2014/main" id="{C92667F5-A748-D14F-95F1-03C3D382E3F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62900" y="10198100"/>
          <a:ext cx="6005703" cy="306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154"/>
  <sheetViews>
    <sheetView tabSelected="1" zoomScaleNormal="100" workbookViewId="0">
      <selection activeCell="D13" sqref="D13"/>
    </sheetView>
  </sheetViews>
  <sheetFormatPr baseColWidth="10" defaultColWidth="9.1640625" defaultRowHeight="13" x14ac:dyDescent="0.15"/>
  <cols>
    <col min="1" max="1" width="1.6640625" style="1" customWidth="1"/>
    <col min="2" max="2" width="61.6640625" style="73" bestFit="1" customWidth="1"/>
    <col min="3" max="3" width="15.6640625" style="74" customWidth="1"/>
    <col min="4" max="4" width="23.6640625" style="14" customWidth="1"/>
    <col min="5" max="5" width="1.5" style="1" customWidth="1"/>
    <col min="6" max="6" width="29.83203125" style="52" customWidth="1"/>
    <col min="7" max="7" width="9" style="14" customWidth="1"/>
    <col min="8" max="8" width="14.5" style="14" customWidth="1"/>
    <col min="9" max="9" width="30.33203125" style="14" customWidth="1"/>
    <col min="10" max="11" width="14.5" style="14" customWidth="1"/>
    <col min="12" max="12" width="10" style="1" bestFit="1" customWidth="1"/>
    <col min="13" max="13" width="33.5" style="21" hidden="1" customWidth="1"/>
    <col min="14" max="14" width="10" style="21" hidden="1" customWidth="1"/>
    <col min="15" max="15" width="9.1640625" style="21" hidden="1" customWidth="1"/>
    <col min="16" max="16" width="8.5" style="21" hidden="1" customWidth="1"/>
    <col min="17" max="17" width="14.33203125" style="21" hidden="1" customWidth="1"/>
    <col min="18" max="18" width="5.83203125" style="21" customWidth="1"/>
    <col min="19" max="19" width="15.5" style="90" bestFit="1" customWidth="1"/>
    <col min="20" max="20" width="14.1640625" style="90" bestFit="1" customWidth="1"/>
    <col min="21" max="21" width="14.1640625" style="90" customWidth="1"/>
    <col min="22" max="22" width="29" style="90" bestFit="1" customWidth="1"/>
    <col min="23" max="23" width="16.5" style="90" bestFit="1" customWidth="1"/>
    <col min="24" max="24" width="20.33203125" style="90" bestFit="1" customWidth="1"/>
    <col min="25" max="25" width="15" style="14" bestFit="1" customWidth="1"/>
    <col min="26" max="26" width="33.5" style="14" bestFit="1" customWidth="1"/>
    <col min="27" max="27" width="10" style="14" bestFit="1" customWidth="1"/>
    <col min="28" max="28" width="9.1640625" style="14"/>
    <col min="29" max="29" width="8.5" style="14" bestFit="1" customWidth="1"/>
    <col min="30" max="30" width="14.33203125" style="14" bestFit="1" customWidth="1"/>
    <col min="31" max="16384" width="9.1640625" style="14"/>
  </cols>
  <sheetData>
    <row r="1" spans="1:25" s="1" customFormat="1" x14ac:dyDescent="0.15">
      <c r="F1" s="2"/>
      <c r="S1" s="3"/>
      <c r="T1" s="3"/>
      <c r="U1" s="3"/>
      <c r="V1" s="3"/>
      <c r="W1" s="3"/>
      <c r="X1" s="3"/>
    </row>
    <row r="2" spans="1:25" ht="14" thickBot="1" x14ac:dyDescent="0.2">
      <c r="A2" s="5"/>
      <c r="B2" s="4"/>
      <c r="C2" s="6" t="s">
        <v>17</v>
      </c>
      <c r="D2" s="7"/>
      <c r="F2" s="8" t="s">
        <v>19</v>
      </c>
      <c r="G2" s="8"/>
      <c r="H2" s="8"/>
      <c r="I2" s="8"/>
      <c r="J2" s="8"/>
      <c r="K2" s="8"/>
      <c r="L2" s="9" t="s">
        <v>20</v>
      </c>
      <c r="M2" s="8"/>
      <c r="N2" s="8"/>
      <c r="O2" s="8"/>
      <c r="P2" s="8"/>
      <c r="Q2" s="8"/>
      <c r="R2" s="8"/>
      <c r="S2" s="10" t="s">
        <v>21</v>
      </c>
      <c r="T2" s="11" t="s">
        <v>22</v>
      </c>
      <c r="U2" s="10" t="s">
        <v>240</v>
      </c>
      <c r="V2" s="11" t="s">
        <v>23</v>
      </c>
      <c r="W2" s="12" t="s">
        <v>24</v>
      </c>
      <c r="X2" s="12" t="s">
        <v>241</v>
      </c>
    </row>
    <row r="3" spans="1:25" ht="14" thickBot="1" x14ac:dyDescent="0.2">
      <c r="A3" s="15"/>
      <c r="B3" s="16" t="s">
        <v>25</v>
      </c>
      <c r="C3" s="122" t="s">
        <v>70</v>
      </c>
      <c r="D3" s="123"/>
      <c r="F3" s="17" t="s">
        <v>27</v>
      </c>
      <c r="G3" s="124" t="str">
        <f>C3</f>
        <v>Cheung Kong Holdings Ltd</v>
      </c>
      <c r="H3" s="125"/>
      <c r="I3" s="125"/>
      <c r="J3" s="125"/>
      <c r="M3" s="18" t="s">
        <v>28</v>
      </c>
      <c r="N3" s="19" t="s">
        <v>14</v>
      </c>
      <c r="O3" s="19" t="s">
        <v>29</v>
      </c>
      <c r="P3" s="19" t="s">
        <v>30</v>
      </c>
      <c r="Q3" s="20" t="s">
        <v>31</v>
      </c>
      <c r="S3" s="22">
        <f>$C$47</f>
        <v>53.6</v>
      </c>
      <c r="T3" s="23">
        <f>$C$10</f>
        <v>67</v>
      </c>
      <c r="U3" s="23">
        <f>$C$9</f>
        <v>70</v>
      </c>
      <c r="V3" s="24">
        <f t="shared" ref="V3:V42" si="0">-MAX($T3-$S3,0)*$C$32+$D$7</f>
        <v>800000</v>
      </c>
      <c r="W3" s="25">
        <f>V3/$C$29-1</f>
        <v>-0.17771610648576419</v>
      </c>
      <c r="X3" s="26">
        <f>S3/U3-1</f>
        <v>-0.23428571428571432</v>
      </c>
      <c r="Y3" s="27"/>
    </row>
    <row r="4" spans="1:25" x14ac:dyDescent="0.15">
      <c r="A4" s="28"/>
      <c r="B4" s="16"/>
      <c r="C4" s="126"/>
      <c r="D4" s="127"/>
      <c r="F4" s="17" t="s">
        <v>32</v>
      </c>
      <c r="G4" s="29" t="s">
        <v>15</v>
      </c>
      <c r="M4" s="30" t="s">
        <v>33</v>
      </c>
      <c r="N4" s="31">
        <v>31.95</v>
      </c>
      <c r="O4" s="32">
        <v>500</v>
      </c>
      <c r="P4" s="33">
        <v>0.35182550000000001</v>
      </c>
      <c r="Q4" s="34">
        <v>2.3689999999999999E-2</v>
      </c>
      <c r="S4" s="22">
        <f t="shared" ref="S4:S42" si="1">+S3+$C$49</f>
        <v>54.379487179487178</v>
      </c>
      <c r="T4" s="23">
        <f t="shared" ref="T4:T42" si="2">T3</f>
        <v>67</v>
      </c>
      <c r="U4" s="23">
        <f t="shared" ref="U4:U42" si="3">$C$9</f>
        <v>70</v>
      </c>
      <c r="V4" s="24">
        <f t="shared" si="0"/>
        <v>811634.13700727129</v>
      </c>
      <c r="W4" s="25">
        <f t="shared" ref="W4:W42" si="4">V4/$C$29-1</f>
        <v>-0.16575790214074282</v>
      </c>
      <c r="X4" s="26">
        <f t="shared" ref="X4:X42" si="5">S4/U4-1</f>
        <v>-0.2231501831501832</v>
      </c>
      <c r="Y4" s="27"/>
    </row>
    <row r="5" spans="1:25" ht="13.5" customHeight="1" thickBot="1" x14ac:dyDescent="0.2">
      <c r="A5" s="35"/>
      <c r="B5" s="16"/>
      <c r="C5" s="14"/>
      <c r="F5" s="17" t="s">
        <v>34</v>
      </c>
      <c r="G5" s="128">
        <f>$C$28</f>
        <v>0.97289999999999999</v>
      </c>
      <c r="H5" s="125"/>
      <c r="M5" s="30" t="s">
        <v>35</v>
      </c>
      <c r="N5" s="31">
        <v>36.049999999999997</v>
      </c>
      <c r="O5" s="32">
        <v>200</v>
      </c>
      <c r="P5" s="33">
        <v>0.19589119999999999</v>
      </c>
      <c r="Q5" s="34">
        <v>1.072E-2</v>
      </c>
      <c r="S5" s="22">
        <f t="shared" si="1"/>
        <v>55.158974358974355</v>
      </c>
      <c r="T5" s="23">
        <f t="shared" si="2"/>
        <v>67</v>
      </c>
      <c r="U5" s="23">
        <f t="shared" si="3"/>
        <v>70</v>
      </c>
      <c r="V5" s="24">
        <f t="shared" si="0"/>
        <v>823268.27401454258</v>
      </c>
      <c r="W5" s="25">
        <f t="shared" si="4"/>
        <v>-0.15379969779572145</v>
      </c>
      <c r="X5" s="26">
        <f t="shared" si="5"/>
        <v>-0.21201465201465208</v>
      </c>
      <c r="Y5" s="27"/>
    </row>
    <row r="6" spans="1:25" ht="15" thickTop="1" thickBot="1" x14ac:dyDescent="0.2">
      <c r="A6" s="35"/>
      <c r="B6" s="16"/>
      <c r="C6" s="36" t="s">
        <v>16</v>
      </c>
      <c r="D6" s="37" t="s">
        <v>17</v>
      </c>
      <c r="F6" s="17" t="s">
        <v>36</v>
      </c>
      <c r="G6" s="129">
        <f>$G$5*$D$7</f>
        <v>972900</v>
      </c>
      <c r="H6" s="125"/>
      <c r="M6" s="30" t="s">
        <v>37</v>
      </c>
      <c r="N6" s="31">
        <v>29.05</v>
      </c>
      <c r="O6" s="32">
        <v>500</v>
      </c>
      <c r="P6" s="33">
        <v>0.37702279999999999</v>
      </c>
      <c r="Q6" s="34">
        <v>1.094E-2</v>
      </c>
      <c r="S6" s="22">
        <f t="shared" si="1"/>
        <v>55.938461538461532</v>
      </c>
      <c r="T6" s="23">
        <f t="shared" si="2"/>
        <v>67</v>
      </c>
      <c r="U6" s="23">
        <f t="shared" si="3"/>
        <v>70</v>
      </c>
      <c r="V6" s="24">
        <f t="shared" si="0"/>
        <v>834902.41102181387</v>
      </c>
      <c r="W6" s="25">
        <f t="shared" si="4"/>
        <v>-0.14184149345070007</v>
      </c>
      <c r="X6" s="26">
        <f t="shared" si="5"/>
        <v>-0.20087912087912096</v>
      </c>
      <c r="Y6" s="27"/>
    </row>
    <row r="7" spans="1:25" ht="14" thickTop="1" x14ac:dyDescent="0.15">
      <c r="A7" s="35"/>
      <c r="B7" s="38" t="s">
        <v>38</v>
      </c>
      <c r="C7" s="39"/>
      <c r="D7" s="40">
        <v>1000000</v>
      </c>
      <c r="F7" s="17" t="s">
        <v>39</v>
      </c>
      <c r="G7" s="130">
        <f>$C$14</f>
        <v>31</v>
      </c>
      <c r="H7" s="125"/>
      <c r="M7" s="30" t="s">
        <v>40</v>
      </c>
      <c r="N7" s="31">
        <v>12.38</v>
      </c>
      <c r="O7" s="32">
        <v>1000</v>
      </c>
      <c r="P7" s="33">
        <v>0.386737</v>
      </c>
      <c r="Q7" s="34">
        <v>3.5540000000000002E-2</v>
      </c>
      <c r="S7" s="22">
        <f t="shared" si="1"/>
        <v>56.717948717948708</v>
      </c>
      <c r="T7" s="23">
        <f t="shared" si="2"/>
        <v>67</v>
      </c>
      <c r="U7" s="23">
        <f t="shared" si="3"/>
        <v>70</v>
      </c>
      <c r="V7" s="24">
        <f t="shared" si="0"/>
        <v>846536.54802908516</v>
      </c>
      <c r="W7" s="25">
        <f>V7/$C$29-1</f>
        <v>-0.1298832891056787</v>
      </c>
      <c r="X7" s="26">
        <f t="shared" si="5"/>
        <v>-0.18974358974358985</v>
      </c>
      <c r="Y7" s="27"/>
    </row>
    <row r="8" spans="1:25" x14ac:dyDescent="0.15">
      <c r="A8" s="35"/>
      <c r="B8" s="16" t="s">
        <v>41</v>
      </c>
      <c r="C8" s="41">
        <f>IF($D8="",INDEX($O$4:$O$154,$C$44),$D8)</f>
        <v>500</v>
      </c>
      <c r="D8" s="42">
        <v>500</v>
      </c>
      <c r="F8" s="17" t="s">
        <v>42</v>
      </c>
      <c r="G8" s="131">
        <f>C9</f>
        <v>70</v>
      </c>
      <c r="H8" s="125"/>
      <c r="M8" s="30" t="s">
        <v>43</v>
      </c>
      <c r="N8" s="31">
        <v>67.7</v>
      </c>
      <c r="O8" s="32">
        <v>100</v>
      </c>
      <c r="P8" s="33">
        <v>0.37766379999999999</v>
      </c>
      <c r="Q8" s="34">
        <v>9.5899999999999996E-3</v>
      </c>
      <c r="S8" s="22">
        <f t="shared" si="1"/>
        <v>57.497435897435885</v>
      </c>
      <c r="T8" s="23">
        <f t="shared" si="2"/>
        <v>67</v>
      </c>
      <c r="U8" s="23">
        <f t="shared" si="3"/>
        <v>70</v>
      </c>
      <c r="V8" s="24">
        <f t="shared" si="0"/>
        <v>858170.68503635656</v>
      </c>
      <c r="W8" s="25">
        <f t="shared" si="4"/>
        <v>-0.11792508476065722</v>
      </c>
      <c r="X8" s="26">
        <f t="shared" si="5"/>
        <v>-0.17860805860805884</v>
      </c>
      <c r="Y8" s="27"/>
    </row>
    <row r="9" spans="1:25" x14ac:dyDescent="0.15">
      <c r="A9" s="35"/>
      <c r="B9" s="16" t="s">
        <v>44</v>
      </c>
      <c r="C9" s="43">
        <f>IF($D9="",INDEX($N$4:$N$154,$C$44),$D9)</f>
        <v>70</v>
      </c>
      <c r="D9" s="44">
        <v>70</v>
      </c>
      <c r="E9" s="45"/>
      <c r="F9" s="17" t="s">
        <v>22</v>
      </c>
      <c r="G9" s="131">
        <f>C10</f>
        <v>67</v>
      </c>
      <c r="H9" s="125"/>
      <c r="M9" s="30" t="s">
        <v>45</v>
      </c>
      <c r="N9" s="31">
        <v>4.84</v>
      </c>
      <c r="O9" s="32">
        <v>4000</v>
      </c>
      <c r="P9" s="33">
        <v>0.4312704</v>
      </c>
      <c r="Q9" s="34">
        <v>5.2300000000000003E-3</v>
      </c>
      <c r="S9" s="22">
        <f t="shared" si="1"/>
        <v>58.276923076923062</v>
      </c>
      <c r="T9" s="23">
        <f t="shared" si="2"/>
        <v>67</v>
      </c>
      <c r="U9" s="23">
        <f t="shared" si="3"/>
        <v>70</v>
      </c>
      <c r="V9" s="24">
        <f t="shared" si="0"/>
        <v>869804.82204362773</v>
      </c>
      <c r="W9" s="25">
        <f t="shared" si="4"/>
        <v>-0.10596688041563596</v>
      </c>
      <c r="X9" s="26">
        <f t="shared" si="5"/>
        <v>-0.16747252747252772</v>
      </c>
      <c r="Y9" s="27"/>
    </row>
    <row r="10" spans="1:25" ht="12.75" customHeight="1" x14ac:dyDescent="0.15">
      <c r="A10" s="35"/>
      <c r="B10" s="16" t="s">
        <v>46</v>
      </c>
      <c r="C10" s="43">
        <f>IF($D10="",$C$9,$D10)</f>
        <v>67</v>
      </c>
      <c r="D10" s="44">
        <v>67</v>
      </c>
      <c r="F10" s="46" t="s">
        <v>47</v>
      </c>
      <c r="G10" s="137" t="str">
        <f>TEXT($C$32,"#,##0")&amp;" shares of "&amp;$G$3</f>
        <v>14,925 shares of Cheung Kong Holdings Ltd</v>
      </c>
      <c r="H10" s="125"/>
      <c r="I10" s="125"/>
      <c r="J10" s="125"/>
      <c r="M10" s="30" t="s">
        <v>48</v>
      </c>
      <c r="N10" s="31">
        <v>3.1</v>
      </c>
      <c r="O10" s="32">
        <v>1000</v>
      </c>
      <c r="P10" s="33">
        <v>0.19389729999999999</v>
      </c>
      <c r="Q10" s="34">
        <v>7.145E-2</v>
      </c>
      <c r="S10" s="22">
        <f t="shared" si="1"/>
        <v>59.056410256410238</v>
      </c>
      <c r="T10" s="23">
        <f t="shared" si="2"/>
        <v>67</v>
      </c>
      <c r="U10" s="23">
        <f t="shared" si="3"/>
        <v>70</v>
      </c>
      <c r="V10" s="24">
        <f t="shared" si="0"/>
        <v>881438.95905089914</v>
      </c>
      <c r="W10" s="25">
        <f t="shared" si="4"/>
        <v>-9.4008676070614472E-2</v>
      </c>
      <c r="X10" s="26">
        <f t="shared" si="5"/>
        <v>-0.1563369963369966</v>
      </c>
      <c r="Y10" s="27"/>
    </row>
    <row r="11" spans="1:25" x14ac:dyDescent="0.15">
      <c r="A11" s="35"/>
      <c r="B11" s="16" t="s">
        <v>18</v>
      </c>
      <c r="C11" s="47">
        <f>IF($D11="",INDEX($P$4:$P$154,$C$44),$D11)</f>
        <v>0.4768</v>
      </c>
      <c r="D11" s="48">
        <v>0.4768</v>
      </c>
      <c r="F11" s="17" t="s">
        <v>49</v>
      </c>
      <c r="G11" s="128">
        <f>D28</f>
        <v>0.32796859406032475</v>
      </c>
      <c r="H11" s="138"/>
      <c r="I11" s="49"/>
      <c r="M11" s="30" t="s">
        <v>50</v>
      </c>
      <c r="N11" s="31">
        <v>4.6399999999999997</v>
      </c>
      <c r="O11" s="32">
        <v>1000</v>
      </c>
      <c r="P11" s="33">
        <v>0.2229788</v>
      </c>
      <c r="Q11" s="34">
        <v>6.5360000000000001E-2</v>
      </c>
      <c r="S11" s="22">
        <f t="shared" si="1"/>
        <v>59.835897435897415</v>
      </c>
      <c r="T11" s="23">
        <f t="shared" si="2"/>
        <v>67</v>
      </c>
      <c r="U11" s="23">
        <f t="shared" si="3"/>
        <v>70</v>
      </c>
      <c r="V11" s="24">
        <f t="shared" si="0"/>
        <v>893073.09605817043</v>
      </c>
      <c r="W11" s="25">
        <f t="shared" si="4"/>
        <v>-8.2050471725593099E-2</v>
      </c>
      <c r="X11" s="26">
        <f t="shared" si="5"/>
        <v>-0.14520146520146548</v>
      </c>
      <c r="Y11" s="27"/>
    </row>
    <row r="12" spans="1:25" x14ac:dyDescent="0.15">
      <c r="A12" s="35"/>
      <c r="B12" s="16" t="s">
        <v>51</v>
      </c>
      <c r="C12" s="47">
        <f>IF($D12="",INDEX($Q$4:$Q$154,$C$44),$D12)</f>
        <v>0</v>
      </c>
      <c r="D12" s="48">
        <v>0</v>
      </c>
      <c r="F12" s="14"/>
      <c r="H12" s="50"/>
      <c r="M12" s="30" t="s">
        <v>52</v>
      </c>
      <c r="N12" s="31">
        <v>30.25</v>
      </c>
      <c r="O12" s="32">
        <v>200</v>
      </c>
      <c r="P12" s="33">
        <v>0.2007419</v>
      </c>
      <c r="Q12" s="34">
        <v>3.669E-2</v>
      </c>
      <c r="S12" s="22">
        <f t="shared" si="1"/>
        <v>60.615384615384592</v>
      </c>
      <c r="T12" s="23">
        <f t="shared" si="2"/>
        <v>67</v>
      </c>
      <c r="U12" s="23">
        <f t="shared" si="3"/>
        <v>70</v>
      </c>
      <c r="V12" s="24">
        <f t="shared" si="0"/>
        <v>904707.23306544172</v>
      </c>
      <c r="W12" s="25">
        <f t="shared" si="4"/>
        <v>-7.0092267380571727E-2</v>
      </c>
      <c r="X12" s="26">
        <f t="shared" si="5"/>
        <v>-0.13406593406593437</v>
      </c>
      <c r="Y12" s="27"/>
    </row>
    <row r="13" spans="1:25" x14ac:dyDescent="0.15">
      <c r="A13" s="35"/>
      <c r="B13" s="16" t="s">
        <v>53</v>
      </c>
      <c r="C13" s="51"/>
      <c r="D13" s="48">
        <v>1.5E-3</v>
      </c>
      <c r="M13" s="30" t="s">
        <v>54</v>
      </c>
      <c r="N13" s="31">
        <v>5.42</v>
      </c>
      <c r="O13" s="32">
        <v>500</v>
      </c>
      <c r="P13" s="33">
        <v>0.40826810000000002</v>
      </c>
      <c r="Q13" s="34">
        <v>1.6670000000000001E-2</v>
      </c>
      <c r="S13" s="22">
        <f t="shared" si="1"/>
        <v>61.394871794871769</v>
      </c>
      <c r="T13" s="23">
        <f t="shared" si="2"/>
        <v>67</v>
      </c>
      <c r="U13" s="23">
        <f t="shared" si="3"/>
        <v>70</v>
      </c>
      <c r="V13" s="24">
        <f t="shared" si="0"/>
        <v>916341.37007271301</v>
      </c>
      <c r="W13" s="25">
        <f t="shared" si="4"/>
        <v>-5.8134063035550465E-2</v>
      </c>
      <c r="X13" s="26">
        <f t="shared" si="5"/>
        <v>-0.12293040293040336</v>
      </c>
      <c r="Y13" s="27"/>
    </row>
    <row r="14" spans="1:25" ht="14" thickBot="1" x14ac:dyDescent="0.2">
      <c r="A14" s="35"/>
      <c r="B14" s="16" t="s">
        <v>55</v>
      </c>
      <c r="C14" s="53">
        <f>IF($D14="",30,$D14)</f>
        <v>31</v>
      </c>
      <c r="D14" s="54">
        <v>31</v>
      </c>
      <c r="F14" s="17" t="s">
        <v>56</v>
      </c>
      <c r="G14" s="49" t="s">
        <v>57</v>
      </c>
      <c r="I14" s="109"/>
      <c r="M14" s="30" t="s">
        <v>58</v>
      </c>
      <c r="N14" s="31">
        <v>70.75</v>
      </c>
      <c r="O14" s="32">
        <v>500</v>
      </c>
      <c r="P14" s="33">
        <v>0.3741604</v>
      </c>
      <c r="Q14" s="34">
        <v>1.059E-2</v>
      </c>
      <c r="S14" s="22">
        <f t="shared" si="1"/>
        <v>62.174358974358945</v>
      </c>
      <c r="T14" s="23">
        <f t="shared" si="2"/>
        <v>67</v>
      </c>
      <c r="U14" s="23">
        <f t="shared" si="3"/>
        <v>70</v>
      </c>
      <c r="V14" s="24">
        <f t="shared" si="0"/>
        <v>927975.50707998429</v>
      </c>
      <c r="W14" s="25">
        <f t="shared" si="4"/>
        <v>-4.6175858690529092E-2</v>
      </c>
      <c r="X14" s="26">
        <f t="shared" si="5"/>
        <v>-0.11179487179487224</v>
      </c>
      <c r="Y14" s="27"/>
    </row>
    <row r="15" spans="1:25" ht="14" thickTop="1" x14ac:dyDescent="0.15">
      <c r="A15" s="35"/>
      <c r="B15" s="4"/>
      <c r="C15" s="6"/>
      <c r="D15" s="7"/>
      <c r="F15" s="17"/>
      <c r="G15" s="49" t="s">
        <v>59</v>
      </c>
      <c r="M15" s="30" t="s">
        <v>60</v>
      </c>
      <c r="N15" s="31">
        <v>5.28</v>
      </c>
      <c r="O15" s="32">
        <v>2000</v>
      </c>
      <c r="P15" s="33">
        <v>0.4200161</v>
      </c>
      <c r="Q15" s="34">
        <v>9.4500000000000001E-3</v>
      </c>
      <c r="S15" s="22">
        <f t="shared" si="1"/>
        <v>62.953846153846122</v>
      </c>
      <c r="T15" s="23">
        <f t="shared" si="2"/>
        <v>67</v>
      </c>
      <c r="U15" s="23">
        <f t="shared" si="3"/>
        <v>70</v>
      </c>
      <c r="V15" s="24">
        <f t="shared" si="0"/>
        <v>939609.64408725558</v>
      </c>
      <c r="W15" s="25">
        <f t="shared" si="4"/>
        <v>-3.421765434550772E-2</v>
      </c>
      <c r="X15" s="26">
        <f t="shared" si="5"/>
        <v>-0.10065934065934112</v>
      </c>
      <c r="Y15" s="27"/>
    </row>
    <row r="16" spans="1:25" x14ac:dyDescent="0.15">
      <c r="A16" s="35"/>
      <c r="B16" s="4"/>
      <c r="C16" s="6"/>
      <c r="D16" s="7"/>
      <c r="F16" s="17"/>
      <c r="H16" s="139" t="str">
        <f>"Client receives Investment Amount: " &amp; TEXT($D$7,"$#,#00.00")</f>
        <v>Client receives Investment Amount: $1,000,000.00</v>
      </c>
      <c r="I16" s="125"/>
      <c r="J16" s="125"/>
      <c r="K16" s="125"/>
      <c r="M16" s="30" t="s">
        <v>61</v>
      </c>
      <c r="N16" s="31">
        <v>4.37</v>
      </c>
      <c r="O16" s="32">
        <v>2000</v>
      </c>
      <c r="P16" s="33">
        <v>0.42933100000000002</v>
      </c>
      <c r="Q16" s="34">
        <v>1.0880000000000001E-2</v>
      </c>
      <c r="S16" s="22">
        <f t="shared" si="1"/>
        <v>63.733333333333299</v>
      </c>
      <c r="T16" s="23">
        <f t="shared" si="2"/>
        <v>67</v>
      </c>
      <c r="U16" s="23">
        <f t="shared" si="3"/>
        <v>70</v>
      </c>
      <c r="V16" s="24">
        <f t="shared" si="0"/>
        <v>951243.78109452687</v>
      </c>
      <c r="W16" s="25">
        <f t="shared" si="4"/>
        <v>-2.2259450000486347E-2</v>
      </c>
      <c r="X16" s="26">
        <f t="shared" si="5"/>
        <v>-8.9523809523810005E-2</v>
      </c>
      <c r="Y16" s="27"/>
    </row>
    <row r="17" spans="1:25" x14ac:dyDescent="0.15">
      <c r="A17" s="35"/>
      <c r="B17" s="4"/>
      <c r="C17" s="6" t="s">
        <v>62</v>
      </c>
      <c r="D17" s="7"/>
      <c r="F17" s="17"/>
      <c r="G17" s="49" t="s">
        <v>63</v>
      </c>
      <c r="M17" s="30" t="s">
        <v>64</v>
      </c>
      <c r="N17" s="31">
        <v>7.76</v>
      </c>
      <c r="O17" s="32">
        <v>1000</v>
      </c>
      <c r="P17" s="33">
        <v>0.43703120000000001</v>
      </c>
      <c r="Q17" s="34">
        <v>2.6100000000000002E-2</v>
      </c>
      <c r="S17" s="22">
        <f t="shared" si="1"/>
        <v>64.512820512820483</v>
      </c>
      <c r="T17" s="23">
        <f t="shared" si="2"/>
        <v>67</v>
      </c>
      <c r="U17" s="23">
        <f t="shared" si="3"/>
        <v>70</v>
      </c>
      <c r="V17" s="24">
        <f t="shared" si="0"/>
        <v>962877.91810179828</v>
      </c>
      <c r="W17" s="25">
        <f t="shared" si="4"/>
        <v>-1.0301245655464863E-2</v>
      </c>
      <c r="X17" s="26">
        <f t="shared" si="5"/>
        <v>-7.8388278388278776E-2</v>
      </c>
      <c r="Y17" s="27"/>
    </row>
    <row r="18" spans="1:25" x14ac:dyDescent="0.15">
      <c r="A18" s="35"/>
      <c r="B18" s="140" t="s">
        <v>65</v>
      </c>
      <c r="C18" s="141"/>
      <c r="D18" s="142"/>
      <c r="F18" s="55"/>
      <c r="G18" s="49"/>
      <c r="H18" s="143" t="str">
        <f>"Client receives " &amp;TEXT($C$32,"#,##0")&amp;" shares of "&amp;$G$3</f>
        <v>Client receives 14,925 shares of Cheung Kong Holdings Ltd</v>
      </c>
      <c r="I18" s="143"/>
      <c r="J18" s="143"/>
      <c r="K18" s="143"/>
      <c r="M18" s="30" t="s">
        <v>66</v>
      </c>
      <c r="N18" s="31">
        <v>60.5</v>
      </c>
      <c r="O18" s="32">
        <v>500</v>
      </c>
      <c r="P18" s="33">
        <v>0.29024990000000001</v>
      </c>
      <c r="Q18" s="34">
        <v>2.1299999999999999E-2</v>
      </c>
      <c r="S18" s="22">
        <f t="shared" si="1"/>
        <v>65.292307692307659</v>
      </c>
      <c r="T18" s="23">
        <f t="shared" si="2"/>
        <v>67</v>
      </c>
      <c r="U18" s="23">
        <f t="shared" si="3"/>
        <v>70</v>
      </c>
      <c r="V18" s="24">
        <f t="shared" si="0"/>
        <v>974512.05510906957</v>
      </c>
      <c r="W18" s="25">
        <f t="shared" si="4"/>
        <v>1.6569586895565092E-3</v>
      </c>
      <c r="X18" s="26">
        <f t="shared" si="5"/>
        <v>-6.7252747252747769E-2</v>
      </c>
      <c r="Y18" s="27"/>
    </row>
    <row r="19" spans="1:25" x14ac:dyDescent="0.15">
      <c r="A19" s="35"/>
      <c r="B19" s="144" t="s">
        <v>17</v>
      </c>
      <c r="C19" s="141"/>
      <c r="D19" s="142"/>
      <c r="M19" s="30" t="s">
        <v>67</v>
      </c>
      <c r="N19" s="31">
        <v>22.95</v>
      </c>
      <c r="O19" s="32">
        <v>500</v>
      </c>
      <c r="P19" s="33">
        <v>0.14900450000000001</v>
      </c>
      <c r="Q19" s="34">
        <v>5.3940000000000002E-2</v>
      </c>
      <c r="S19" s="22">
        <f t="shared" si="1"/>
        <v>66.071794871794836</v>
      </c>
      <c r="T19" s="23">
        <f t="shared" si="2"/>
        <v>67</v>
      </c>
      <c r="U19" s="23">
        <f t="shared" si="3"/>
        <v>70</v>
      </c>
      <c r="V19" s="24">
        <f t="shared" si="0"/>
        <v>986146.19211634086</v>
      </c>
      <c r="W19" s="25">
        <f t="shared" si="4"/>
        <v>1.3615163034577993E-2</v>
      </c>
      <c r="X19" s="26">
        <f t="shared" si="5"/>
        <v>-5.6117216117216651E-2</v>
      </c>
      <c r="Y19" s="27"/>
    </row>
    <row r="20" spans="1:25" x14ac:dyDescent="0.15">
      <c r="A20" s="35"/>
      <c r="B20" s="56"/>
      <c r="C20" s="57"/>
      <c r="D20" s="58"/>
      <c r="M20" s="30" t="s">
        <v>68</v>
      </c>
      <c r="N20" s="31">
        <v>10.64</v>
      </c>
      <c r="O20" s="32">
        <v>2000</v>
      </c>
      <c r="P20" s="33">
        <v>0.34424349999999998</v>
      </c>
      <c r="Q20" s="34">
        <v>9.4000000000000004E-3</v>
      </c>
      <c r="S20" s="22">
        <f t="shared" si="1"/>
        <v>66.851282051282013</v>
      </c>
      <c r="T20" s="23">
        <f t="shared" si="2"/>
        <v>67</v>
      </c>
      <c r="U20" s="23">
        <f t="shared" si="3"/>
        <v>70</v>
      </c>
      <c r="V20" s="24">
        <f t="shared" si="0"/>
        <v>997780.32912361214</v>
      </c>
      <c r="W20" s="25">
        <f t="shared" si="4"/>
        <v>2.5573367379599254E-2</v>
      </c>
      <c r="X20" s="26">
        <f t="shared" si="5"/>
        <v>-4.4981684981685532E-2</v>
      </c>
      <c r="Y20" s="27"/>
    </row>
    <row r="21" spans="1:25" x14ac:dyDescent="0.15">
      <c r="A21" s="35"/>
      <c r="B21" s="4"/>
      <c r="C21" s="6"/>
      <c r="D21" s="7"/>
      <c r="M21" s="30" t="s">
        <v>69</v>
      </c>
      <c r="N21" s="31">
        <v>15.28</v>
      </c>
      <c r="O21" s="32">
        <v>1000</v>
      </c>
      <c r="P21" s="33">
        <v>0.25113489999999999</v>
      </c>
      <c r="Q21" s="34">
        <v>9.1599999999999997E-3</v>
      </c>
      <c r="S21" s="22">
        <f t="shared" si="1"/>
        <v>67.630769230769189</v>
      </c>
      <c r="T21" s="23">
        <f t="shared" si="2"/>
        <v>67</v>
      </c>
      <c r="U21" s="23">
        <f t="shared" si="3"/>
        <v>70</v>
      </c>
      <c r="V21" s="24">
        <f t="shared" si="0"/>
        <v>1000000</v>
      </c>
      <c r="W21" s="25">
        <f t="shared" si="4"/>
        <v>2.7854866892794705E-2</v>
      </c>
      <c r="X21" s="26">
        <f t="shared" si="5"/>
        <v>-3.3846153846154414E-2</v>
      </c>
      <c r="Y21" s="27"/>
    </row>
    <row r="22" spans="1:25" x14ac:dyDescent="0.15">
      <c r="A22" s="35"/>
      <c r="B22" s="4"/>
      <c r="C22" s="6" t="s">
        <v>13</v>
      </c>
      <c r="D22" s="7"/>
      <c r="M22" s="30" t="s">
        <v>70</v>
      </c>
      <c r="N22" s="31">
        <v>122.1</v>
      </c>
      <c r="O22" s="32">
        <v>1000</v>
      </c>
      <c r="P22" s="33">
        <v>0.1681754</v>
      </c>
      <c r="Q22" s="34">
        <v>2.6329999999999999E-2</v>
      </c>
      <c r="S22" s="22">
        <f t="shared" si="1"/>
        <v>68.410256410256366</v>
      </c>
      <c r="T22" s="23">
        <f t="shared" si="2"/>
        <v>67</v>
      </c>
      <c r="U22" s="23">
        <f t="shared" si="3"/>
        <v>70</v>
      </c>
      <c r="V22" s="24">
        <f t="shared" si="0"/>
        <v>1000000</v>
      </c>
      <c r="W22" s="25">
        <f t="shared" si="4"/>
        <v>2.7854866892794705E-2</v>
      </c>
      <c r="X22" s="26">
        <f t="shared" si="5"/>
        <v>-2.2710622710623296E-2</v>
      </c>
      <c r="Y22" s="27"/>
    </row>
    <row r="23" spans="1:25" x14ac:dyDescent="0.15">
      <c r="A23" s="35"/>
      <c r="B23" s="56"/>
      <c r="C23" s="59" t="s">
        <v>71</v>
      </c>
      <c r="D23" s="60" t="s">
        <v>72</v>
      </c>
      <c r="F23" s="17"/>
      <c r="G23" s="49"/>
      <c r="M23" s="30" t="s">
        <v>73</v>
      </c>
      <c r="N23" s="31">
        <v>49.75</v>
      </c>
      <c r="O23" s="32">
        <v>1000</v>
      </c>
      <c r="P23" s="33">
        <v>0.201047</v>
      </c>
      <c r="Q23" s="34">
        <v>3.5380000000000002E-2</v>
      </c>
      <c r="S23" s="22">
        <f t="shared" si="1"/>
        <v>69.189743589743543</v>
      </c>
      <c r="T23" s="23">
        <f t="shared" si="2"/>
        <v>67</v>
      </c>
      <c r="U23" s="23">
        <f t="shared" si="3"/>
        <v>70</v>
      </c>
      <c r="V23" s="24">
        <f t="shared" si="0"/>
        <v>1000000</v>
      </c>
      <c r="W23" s="25">
        <f t="shared" si="4"/>
        <v>2.7854866892794705E-2</v>
      </c>
      <c r="X23" s="26">
        <f t="shared" si="5"/>
        <v>-1.1575091575092289E-2</v>
      </c>
      <c r="Y23" s="27"/>
    </row>
    <row r="24" spans="1:25" x14ac:dyDescent="0.15">
      <c r="A24" s="35"/>
      <c r="B24" s="61" t="s">
        <v>74</v>
      </c>
      <c r="C24" s="62">
        <f>1/(1+$D$13*$C$14/365)</f>
        <v>0.99987261896772051</v>
      </c>
      <c r="D24" s="62">
        <f>(1/C24-1)*365/$C$14</f>
        <v>1.5000000000003004E-3</v>
      </c>
      <c r="F24" s="17"/>
      <c r="G24" s="63"/>
      <c r="M24" s="30" t="s">
        <v>75</v>
      </c>
      <c r="N24" s="31">
        <v>3.97</v>
      </c>
      <c r="O24" s="32">
        <v>1000</v>
      </c>
      <c r="P24" s="33">
        <v>0.32370139999999997</v>
      </c>
      <c r="Q24" s="34">
        <v>4.7730000000000002E-2</v>
      </c>
      <c r="S24" s="22">
        <f t="shared" si="1"/>
        <v>69.96923076923072</v>
      </c>
      <c r="T24" s="23">
        <f t="shared" si="2"/>
        <v>67</v>
      </c>
      <c r="U24" s="23">
        <f t="shared" si="3"/>
        <v>70</v>
      </c>
      <c r="V24" s="24">
        <f t="shared" si="0"/>
        <v>1000000</v>
      </c>
      <c r="W24" s="25">
        <f t="shared" si="4"/>
        <v>2.7854866892794705E-2</v>
      </c>
      <c r="X24" s="26">
        <f t="shared" si="5"/>
        <v>-4.3956043956117075E-4</v>
      </c>
      <c r="Y24" s="27"/>
    </row>
    <row r="25" spans="1:25" x14ac:dyDescent="0.15">
      <c r="A25" s="35"/>
      <c r="B25" s="61" t="s">
        <v>76</v>
      </c>
      <c r="C25" s="62">
        <f>-options($C$9,$C$10,$C$11,$D$13,$C$12,$C$14/365,"Put","Price")/$C$10</f>
        <v>-3.6976293826093298E-2</v>
      </c>
      <c r="D25" s="64"/>
      <c r="F25" s="17"/>
      <c r="G25" s="63"/>
      <c r="M25" s="30" t="s">
        <v>77</v>
      </c>
      <c r="N25" s="31">
        <v>3.99</v>
      </c>
      <c r="O25" s="32">
        <v>1000</v>
      </c>
      <c r="P25" s="33">
        <v>0.25350539999999999</v>
      </c>
      <c r="Q25" s="34">
        <v>6.6640000000000005E-2</v>
      </c>
      <c r="S25" s="22">
        <f t="shared" si="1"/>
        <v>70.748717948717896</v>
      </c>
      <c r="T25" s="23">
        <f t="shared" si="2"/>
        <v>67</v>
      </c>
      <c r="U25" s="23">
        <f t="shared" si="3"/>
        <v>70</v>
      </c>
      <c r="V25" s="24">
        <f t="shared" si="0"/>
        <v>1000000</v>
      </c>
      <c r="W25" s="25">
        <f>V25/$C$29-1</f>
        <v>2.7854866892794705E-2</v>
      </c>
      <c r="X25" s="26">
        <f t="shared" si="5"/>
        <v>1.0695970695969947E-2</v>
      </c>
      <c r="Y25" s="27"/>
    </row>
    <row r="26" spans="1:25" x14ac:dyDescent="0.15">
      <c r="A26" s="35"/>
      <c r="B26" s="61" t="s">
        <v>0</v>
      </c>
      <c r="C26" s="62">
        <f>C24+C25</f>
        <v>0.96289632514162715</v>
      </c>
      <c r="D26" s="62">
        <f>(1/C26-1)*365/$C$14</f>
        <v>0.45369977819226859</v>
      </c>
      <c r="F26" s="55"/>
      <c r="G26" s="49"/>
      <c r="M26" s="30" t="s">
        <v>78</v>
      </c>
      <c r="N26" s="31">
        <v>5.09</v>
      </c>
      <c r="O26" s="32">
        <v>1000</v>
      </c>
      <c r="P26" s="33">
        <v>0.2249382</v>
      </c>
      <c r="Q26" s="34">
        <v>4.589E-2</v>
      </c>
      <c r="S26" s="22">
        <f t="shared" si="1"/>
        <v>71.528205128205073</v>
      </c>
      <c r="T26" s="23">
        <f t="shared" si="2"/>
        <v>67</v>
      </c>
      <c r="U26" s="23">
        <f t="shared" si="3"/>
        <v>70</v>
      </c>
      <c r="V26" s="24">
        <f t="shared" si="0"/>
        <v>1000000</v>
      </c>
      <c r="W26" s="25">
        <f t="shared" si="4"/>
        <v>2.7854866892794705E-2</v>
      </c>
      <c r="X26" s="26">
        <f t="shared" si="5"/>
        <v>2.1831501831500955E-2</v>
      </c>
      <c r="Y26" s="27"/>
    </row>
    <row r="27" spans="1:25" x14ac:dyDescent="0.15">
      <c r="A27" s="35"/>
      <c r="B27" s="61" t="s">
        <v>1</v>
      </c>
      <c r="C27" s="65">
        <v>0.01</v>
      </c>
      <c r="D27" s="64"/>
      <c r="F27" s="55"/>
      <c r="G27" s="49"/>
      <c r="M27" s="30" t="s">
        <v>79</v>
      </c>
      <c r="N27" s="31">
        <v>5.0199999999999996</v>
      </c>
      <c r="O27" s="32">
        <v>1000</v>
      </c>
      <c r="P27" s="33">
        <v>0.21888969999999999</v>
      </c>
      <c r="Q27" s="34">
        <v>6.7699999999999996E-2</v>
      </c>
      <c r="S27" s="22">
        <f t="shared" si="1"/>
        <v>72.30769230769225</v>
      </c>
      <c r="T27" s="23">
        <f t="shared" si="2"/>
        <v>67</v>
      </c>
      <c r="U27" s="23">
        <f t="shared" si="3"/>
        <v>70</v>
      </c>
      <c r="V27" s="24">
        <f t="shared" si="0"/>
        <v>1000000</v>
      </c>
      <c r="W27" s="25">
        <f t="shared" si="4"/>
        <v>2.7854866892794705E-2</v>
      </c>
      <c r="X27" s="26">
        <f t="shared" si="5"/>
        <v>3.2967032967032184E-2</v>
      </c>
      <c r="Y27" s="27"/>
    </row>
    <row r="28" spans="1:25" x14ac:dyDescent="0.15">
      <c r="A28" s="35"/>
      <c r="B28" s="61" t="s">
        <v>2</v>
      </c>
      <c r="C28" s="116">
        <f>ROUND(C26+C27,4)</f>
        <v>0.97289999999999999</v>
      </c>
      <c r="D28" s="117">
        <f>(1/C28-1)*365/$C$14</f>
        <v>0.32796859406032475</v>
      </c>
      <c r="F28" s="67"/>
      <c r="G28" s="49"/>
      <c r="M28" s="30" t="s">
        <v>80</v>
      </c>
      <c r="N28" s="31">
        <v>11.38</v>
      </c>
      <c r="O28" s="32">
        <v>1000</v>
      </c>
      <c r="P28" s="33">
        <v>0.45458579999999998</v>
      </c>
      <c r="Q28" s="34">
        <v>5.7200000000000003E-3</v>
      </c>
      <c r="S28" s="22">
        <f t="shared" si="1"/>
        <v>73.087179487179426</v>
      </c>
      <c r="T28" s="23">
        <f t="shared" si="2"/>
        <v>67</v>
      </c>
      <c r="U28" s="23">
        <f t="shared" si="3"/>
        <v>70</v>
      </c>
      <c r="V28" s="24">
        <f t="shared" si="0"/>
        <v>1000000</v>
      </c>
      <c r="W28" s="25">
        <f t="shared" si="4"/>
        <v>2.7854866892794705E-2</v>
      </c>
      <c r="X28" s="26">
        <f t="shared" si="5"/>
        <v>4.4102564102563191E-2</v>
      </c>
      <c r="Y28" s="27"/>
    </row>
    <row r="29" spans="1:25" x14ac:dyDescent="0.15">
      <c r="A29" s="35"/>
      <c r="B29" s="61" t="s">
        <v>3</v>
      </c>
      <c r="C29" s="68">
        <f>$D$7*C28</f>
        <v>972900</v>
      </c>
      <c r="D29" s="64"/>
      <c r="F29" s="55"/>
      <c r="G29" s="49"/>
      <c r="M29" s="30" t="s">
        <v>81</v>
      </c>
      <c r="N29" s="31">
        <v>11.7</v>
      </c>
      <c r="O29" s="32">
        <v>2000</v>
      </c>
      <c r="P29" s="33">
        <v>0.36529159999999999</v>
      </c>
      <c r="Q29" s="34">
        <v>3.7499999999999999E-3</v>
      </c>
      <c r="S29" s="22">
        <f t="shared" si="1"/>
        <v>73.866666666666603</v>
      </c>
      <c r="T29" s="23">
        <f t="shared" si="2"/>
        <v>67</v>
      </c>
      <c r="U29" s="23">
        <f t="shared" si="3"/>
        <v>70</v>
      </c>
      <c r="V29" s="24">
        <f t="shared" si="0"/>
        <v>1000000</v>
      </c>
      <c r="W29" s="25">
        <f t="shared" si="4"/>
        <v>2.7854866892794705E-2</v>
      </c>
      <c r="X29" s="26">
        <f t="shared" si="5"/>
        <v>5.523809523809442E-2</v>
      </c>
      <c r="Y29" s="27"/>
    </row>
    <row r="30" spans="1:25" x14ac:dyDescent="0.15">
      <c r="B30" s="61"/>
      <c r="C30" s="69"/>
      <c r="D30" s="118"/>
      <c r="F30" s="55"/>
      <c r="M30" s="30" t="s">
        <v>82</v>
      </c>
      <c r="N30" s="31">
        <v>4.66</v>
      </c>
      <c r="O30" s="32">
        <v>500</v>
      </c>
      <c r="P30" s="33">
        <v>0.27676440000000002</v>
      </c>
      <c r="Q30" s="34">
        <v>5.5669999999999997E-2</v>
      </c>
      <c r="S30" s="22">
        <f t="shared" si="1"/>
        <v>74.64615384615378</v>
      </c>
      <c r="T30" s="23">
        <f t="shared" si="2"/>
        <v>67</v>
      </c>
      <c r="U30" s="23">
        <f t="shared" si="3"/>
        <v>70</v>
      </c>
      <c r="V30" s="24">
        <f t="shared" si="0"/>
        <v>1000000</v>
      </c>
      <c r="W30" s="25">
        <f t="shared" si="4"/>
        <v>2.7854866892794705E-2</v>
      </c>
      <c r="X30" s="26">
        <f t="shared" si="5"/>
        <v>6.6373626373625427E-2</v>
      </c>
      <c r="Y30" s="27"/>
    </row>
    <row r="31" spans="1:25" x14ac:dyDescent="0.15">
      <c r="B31" s="61" t="s">
        <v>4</v>
      </c>
      <c r="C31" s="70">
        <f>$D$7/($C$10*$C$8)</f>
        <v>29.850746268656717</v>
      </c>
      <c r="D31" s="71"/>
      <c r="F31" s="55"/>
      <c r="M31" s="30" t="s">
        <v>83</v>
      </c>
      <c r="N31" s="31">
        <v>20.7</v>
      </c>
      <c r="O31" s="32">
        <v>1000</v>
      </c>
      <c r="P31" s="33">
        <v>0.3236752</v>
      </c>
      <c r="Q31" s="34">
        <v>8.5800000000000008E-3</v>
      </c>
      <c r="S31" s="22">
        <f t="shared" si="1"/>
        <v>75.425641025640957</v>
      </c>
      <c r="T31" s="23">
        <f t="shared" si="2"/>
        <v>67</v>
      </c>
      <c r="U31" s="23">
        <f t="shared" si="3"/>
        <v>70</v>
      </c>
      <c r="V31" s="24">
        <f t="shared" si="0"/>
        <v>1000000</v>
      </c>
      <c r="W31" s="25">
        <f t="shared" si="4"/>
        <v>2.7854866892794705E-2</v>
      </c>
      <c r="X31" s="26">
        <f t="shared" si="5"/>
        <v>7.7509157509156434E-2</v>
      </c>
      <c r="Y31" s="27"/>
    </row>
    <row r="32" spans="1:25" x14ac:dyDescent="0.15">
      <c r="B32" s="61" t="s">
        <v>5</v>
      </c>
      <c r="C32" s="70">
        <f>C31*C8</f>
        <v>14925.373134328358</v>
      </c>
      <c r="D32" s="64"/>
      <c r="F32" s="55"/>
      <c r="M32" s="30" t="s">
        <v>84</v>
      </c>
      <c r="N32" s="31">
        <v>8.06</v>
      </c>
      <c r="O32" s="32">
        <v>1000</v>
      </c>
      <c r="P32" s="33">
        <v>0.40614250000000002</v>
      </c>
      <c r="Q32" s="34">
        <v>0.01</v>
      </c>
      <c r="S32" s="22">
        <f t="shared" si="1"/>
        <v>76.205128205128133</v>
      </c>
      <c r="T32" s="23">
        <f t="shared" si="2"/>
        <v>67</v>
      </c>
      <c r="U32" s="23">
        <f t="shared" si="3"/>
        <v>70</v>
      </c>
      <c r="V32" s="24">
        <f t="shared" si="0"/>
        <v>1000000</v>
      </c>
      <c r="W32" s="25">
        <f t="shared" si="4"/>
        <v>2.7854866892794705E-2</v>
      </c>
      <c r="X32" s="26">
        <f t="shared" si="5"/>
        <v>8.8644688644687664E-2</v>
      </c>
      <c r="Y32" s="27"/>
    </row>
    <row r="33" spans="2:26" x14ac:dyDescent="0.15">
      <c r="B33" s="61" t="s">
        <v>6</v>
      </c>
      <c r="C33" s="68">
        <f>options($C$9,$C$10,$C$11,$D$13,$C$12,$C$14/365,"Put","Price")*$C$32</f>
        <v>36976.293826093301</v>
      </c>
      <c r="D33" s="64"/>
      <c r="M33" s="30" t="s">
        <v>85</v>
      </c>
      <c r="N33" s="31">
        <v>36.9</v>
      </c>
      <c r="O33" s="32">
        <v>1000</v>
      </c>
      <c r="P33" s="33">
        <v>0.28537210000000002</v>
      </c>
      <c r="Q33" s="34">
        <v>5.4999999999999997E-3</v>
      </c>
      <c r="S33" s="22">
        <f t="shared" si="1"/>
        <v>76.98461538461531</v>
      </c>
      <c r="T33" s="23">
        <f t="shared" si="2"/>
        <v>67</v>
      </c>
      <c r="U33" s="23">
        <f t="shared" si="3"/>
        <v>70</v>
      </c>
      <c r="V33" s="24">
        <f t="shared" si="0"/>
        <v>1000000</v>
      </c>
      <c r="W33" s="25">
        <f t="shared" si="4"/>
        <v>2.7854866892794705E-2</v>
      </c>
      <c r="X33" s="26">
        <f t="shared" si="5"/>
        <v>9.9780219780218671E-2</v>
      </c>
      <c r="Y33" s="27"/>
    </row>
    <row r="34" spans="2:26" x14ac:dyDescent="0.15">
      <c r="B34" s="61" t="s">
        <v>7</v>
      </c>
      <c r="C34" s="72">
        <f>options($C$9,$C$10,$C$11,$D$13,$C$12,$C$14/365,"Put","Delta")*$C$31*$C$8</f>
        <v>-5222.1962686861661</v>
      </c>
      <c r="D34" s="71" t="s">
        <v>86</v>
      </c>
      <c r="M34" s="30" t="s">
        <v>87</v>
      </c>
      <c r="N34" s="31">
        <v>25.7</v>
      </c>
      <c r="O34" s="32">
        <v>2000</v>
      </c>
      <c r="P34" s="33">
        <v>0.30711650000000001</v>
      </c>
      <c r="Q34" s="34">
        <v>2.724E-2</v>
      </c>
      <c r="S34" s="22">
        <f t="shared" si="1"/>
        <v>77.764102564102487</v>
      </c>
      <c r="T34" s="23">
        <f t="shared" si="2"/>
        <v>67</v>
      </c>
      <c r="U34" s="23">
        <f t="shared" si="3"/>
        <v>70</v>
      </c>
      <c r="V34" s="24">
        <f t="shared" si="0"/>
        <v>1000000</v>
      </c>
      <c r="W34" s="25">
        <f t="shared" si="4"/>
        <v>2.7854866892794705E-2</v>
      </c>
      <c r="X34" s="26">
        <f t="shared" si="5"/>
        <v>0.1109157509157499</v>
      </c>
      <c r="Y34" s="27"/>
    </row>
    <row r="35" spans="2:26" x14ac:dyDescent="0.15">
      <c r="B35" s="61" t="s">
        <v>8</v>
      </c>
      <c r="C35" s="72">
        <f>+options($C$9,$C$10,$C$11,$D$13,$C$12,$C$14/365,"Put","Gamma")*$C$32</f>
        <v>5.682969155187358</v>
      </c>
      <c r="D35" s="71" t="s">
        <v>86</v>
      </c>
      <c r="M35" s="30" t="s">
        <v>88</v>
      </c>
      <c r="N35" s="31">
        <v>69.599999999999994</v>
      </c>
      <c r="O35" s="32">
        <v>500</v>
      </c>
      <c r="P35" s="33">
        <v>0.1629381</v>
      </c>
      <c r="Q35" s="34">
        <v>5.0020000000000002E-2</v>
      </c>
      <c r="S35" s="22">
        <f t="shared" si="1"/>
        <v>78.543589743589663</v>
      </c>
      <c r="T35" s="23">
        <f t="shared" si="2"/>
        <v>67</v>
      </c>
      <c r="U35" s="23">
        <f t="shared" si="3"/>
        <v>70</v>
      </c>
      <c r="V35" s="24">
        <f t="shared" si="0"/>
        <v>1000000</v>
      </c>
      <c r="W35" s="25">
        <f t="shared" si="4"/>
        <v>2.7854866892794705E-2</v>
      </c>
      <c r="X35" s="26">
        <f t="shared" si="5"/>
        <v>0.12205128205128091</v>
      </c>
      <c r="Y35" s="27"/>
    </row>
    <row r="36" spans="2:26" x14ac:dyDescent="0.15">
      <c r="B36" s="61" t="s">
        <v>9</v>
      </c>
      <c r="C36" s="72">
        <f>+options($C$9,$C$10,$C$11,$D$13,$C$12,$C$14/365,"Put","Vega")*$C$32</f>
        <v>1127.6555325919644</v>
      </c>
      <c r="D36" s="71" t="s">
        <v>89</v>
      </c>
      <c r="M36" s="30" t="s">
        <v>90</v>
      </c>
      <c r="N36" s="31">
        <v>2.99</v>
      </c>
      <c r="O36" s="32">
        <v>1000</v>
      </c>
      <c r="P36" s="33">
        <v>0.29498590000000002</v>
      </c>
      <c r="Q36" s="34">
        <v>5.0810000000000001E-2</v>
      </c>
      <c r="S36" s="22">
        <f t="shared" si="1"/>
        <v>79.32307692307684</v>
      </c>
      <c r="T36" s="23">
        <f t="shared" si="2"/>
        <v>67</v>
      </c>
      <c r="U36" s="23">
        <f t="shared" si="3"/>
        <v>70</v>
      </c>
      <c r="V36" s="24">
        <f t="shared" si="0"/>
        <v>1000000</v>
      </c>
      <c r="W36" s="25">
        <f t="shared" si="4"/>
        <v>2.7854866892794705E-2</v>
      </c>
      <c r="X36" s="26">
        <f t="shared" si="5"/>
        <v>0.13318681318681191</v>
      </c>
      <c r="Y36" s="27"/>
    </row>
    <row r="37" spans="2:26" x14ac:dyDescent="0.15">
      <c r="B37" s="61" t="s">
        <v>10</v>
      </c>
      <c r="C37" s="72">
        <f>+options($C$9,$C$10,$C$11,$D$13,$C$12,$C$14/365,"Put","DRho")*$C$32</f>
        <v>310.47029871367062</v>
      </c>
      <c r="D37" s="71" t="s">
        <v>91</v>
      </c>
      <c r="F37" s="8" t="s">
        <v>92</v>
      </c>
      <c r="G37" s="1"/>
      <c r="H37" s="1"/>
      <c r="I37" s="1"/>
      <c r="J37" s="1"/>
      <c r="K37" s="1"/>
      <c r="M37" s="30" t="s">
        <v>93</v>
      </c>
      <c r="N37" s="31">
        <v>7.13</v>
      </c>
      <c r="O37" s="32">
        <v>2000</v>
      </c>
      <c r="P37" s="33">
        <v>0.32001249999999998</v>
      </c>
      <c r="Q37" s="34">
        <v>2.7570000000000001E-2</v>
      </c>
      <c r="S37" s="22">
        <f t="shared" si="1"/>
        <v>80.102564102564017</v>
      </c>
      <c r="T37" s="23">
        <f t="shared" si="2"/>
        <v>67</v>
      </c>
      <c r="U37" s="23">
        <f t="shared" si="3"/>
        <v>70</v>
      </c>
      <c r="V37" s="24">
        <f t="shared" si="0"/>
        <v>1000000</v>
      </c>
      <c r="W37" s="25">
        <f t="shared" si="4"/>
        <v>2.7854866892794705E-2</v>
      </c>
      <c r="X37" s="26">
        <f t="shared" si="5"/>
        <v>0.14432234432234314</v>
      </c>
      <c r="Y37" s="27"/>
    </row>
    <row r="38" spans="2:26" x14ac:dyDescent="0.15">
      <c r="B38" s="61" t="s">
        <v>11</v>
      </c>
      <c r="C38" s="72">
        <f>+options($C$9,$C$10,$C$11,$D$13,$C$12,$C$14/365,"Put","Theta")*$C$32</f>
        <v>-865.5492475373178</v>
      </c>
      <c r="D38" s="71" t="s">
        <v>94</v>
      </c>
      <c r="F38" s="119" t="s">
        <v>95</v>
      </c>
      <c r="G38" s="119" t="s">
        <v>96</v>
      </c>
      <c r="H38" s="119" t="s">
        <v>97</v>
      </c>
      <c r="I38" s="119" t="s">
        <v>98</v>
      </c>
      <c r="J38" s="119" t="s">
        <v>99</v>
      </c>
      <c r="K38" s="119"/>
      <c r="M38" s="30" t="s">
        <v>100</v>
      </c>
      <c r="N38" s="31">
        <v>18.86</v>
      </c>
      <c r="O38" s="32">
        <v>2000</v>
      </c>
      <c r="P38" s="33">
        <v>0.36277510000000002</v>
      </c>
      <c r="Q38" s="34">
        <v>2.0840000000000001E-2</v>
      </c>
      <c r="S38" s="22">
        <f t="shared" si="1"/>
        <v>80.882051282051194</v>
      </c>
      <c r="T38" s="23">
        <f t="shared" si="2"/>
        <v>67</v>
      </c>
      <c r="U38" s="23">
        <f t="shared" si="3"/>
        <v>70</v>
      </c>
      <c r="V38" s="24">
        <f t="shared" si="0"/>
        <v>1000000</v>
      </c>
      <c r="W38" s="25">
        <f t="shared" si="4"/>
        <v>2.7854866892794705E-2</v>
      </c>
      <c r="X38" s="26">
        <f t="shared" si="5"/>
        <v>0.15545787545787415</v>
      </c>
      <c r="Y38" s="27"/>
    </row>
    <row r="39" spans="2:26" ht="14" thickBot="1" x14ac:dyDescent="0.2">
      <c r="F39" s="120"/>
      <c r="G39" s="121"/>
      <c r="H39" s="120"/>
      <c r="I39" s="120"/>
      <c r="J39" s="120"/>
      <c r="K39" s="120"/>
      <c r="M39" s="30" t="s">
        <v>101</v>
      </c>
      <c r="N39" s="31">
        <v>18.32</v>
      </c>
      <c r="O39" s="32">
        <v>2000</v>
      </c>
      <c r="P39" s="33">
        <v>0.32740819999999998</v>
      </c>
      <c r="Q39" s="34">
        <v>2.2929999999999999E-2</v>
      </c>
      <c r="S39" s="22">
        <f t="shared" si="1"/>
        <v>81.66153846153837</v>
      </c>
      <c r="T39" s="23">
        <f t="shared" si="2"/>
        <v>67</v>
      </c>
      <c r="U39" s="23">
        <f t="shared" si="3"/>
        <v>70</v>
      </c>
      <c r="V39" s="24">
        <f t="shared" si="0"/>
        <v>1000000</v>
      </c>
      <c r="W39" s="25">
        <f t="shared" si="4"/>
        <v>2.7854866892794705E-2</v>
      </c>
      <c r="X39" s="26">
        <f t="shared" si="5"/>
        <v>0.16659340659340538</v>
      </c>
      <c r="Y39" s="27"/>
    </row>
    <row r="40" spans="2:26" ht="26" customHeight="1" x14ac:dyDescent="0.15">
      <c r="B40" s="61" t="s">
        <v>12</v>
      </c>
      <c r="C40" s="66">
        <f>+options($C$9,$C$10,$C$11,$D$13,$C$12,$C$14/365,"Put","Implied Volatility",C33/C32)</f>
        <v>0.47680164288867921</v>
      </c>
      <c r="D40" s="49"/>
      <c r="F40" s="132" t="s">
        <v>102</v>
      </c>
      <c r="G40" s="134">
        <f>$C$60</f>
        <v>75.547332716620417</v>
      </c>
      <c r="H40" s="132" t="str">
        <f>TEXT($C$63,"#0.000%")</f>
        <v>2.785%</v>
      </c>
      <c r="I40" s="132" t="str">
        <f>"Client receives Investment Amount: " &amp; TEXT($D$7,"$#,#00.00")</f>
        <v>Client receives Investment Amount: $1,000,000.00</v>
      </c>
      <c r="J40" s="135" t="str">
        <f>TEXT($C$64,"#0.000%")</f>
        <v>7.925%</v>
      </c>
      <c r="M40" s="30" t="s">
        <v>103</v>
      </c>
      <c r="N40" s="31">
        <v>6.69</v>
      </c>
      <c r="O40" s="32">
        <v>2000</v>
      </c>
      <c r="P40" s="33">
        <v>0.33753300000000003</v>
      </c>
      <c r="Q40" s="34">
        <v>4.6089999999999999E-2</v>
      </c>
      <c r="S40" s="22">
        <f t="shared" si="1"/>
        <v>82.441025641025547</v>
      </c>
      <c r="T40" s="23">
        <f t="shared" si="2"/>
        <v>67</v>
      </c>
      <c r="U40" s="23">
        <f t="shared" si="3"/>
        <v>70</v>
      </c>
      <c r="V40" s="24">
        <f t="shared" si="0"/>
        <v>1000000</v>
      </c>
      <c r="W40" s="25">
        <f t="shared" si="4"/>
        <v>2.7854866892794705E-2</v>
      </c>
      <c r="X40" s="26">
        <f t="shared" si="5"/>
        <v>0.17772893772893639</v>
      </c>
      <c r="Y40" s="27"/>
    </row>
    <row r="41" spans="2:26" ht="26" customHeight="1" thickBot="1" x14ac:dyDescent="0.2">
      <c r="B41" s="75"/>
      <c r="C41" s="76"/>
      <c r="D41" s="49"/>
      <c r="F41" s="133"/>
      <c r="G41" s="133"/>
      <c r="H41" s="133"/>
      <c r="I41" s="133"/>
      <c r="J41" s="136"/>
      <c r="K41" s="34"/>
      <c r="M41" s="30" t="s">
        <v>104</v>
      </c>
      <c r="N41" s="31">
        <v>5.99</v>
      </c>
      <c r="O41" s="32">
        <v>500</v>
      </c>
      <c r="P41" s="33">
        <v>0.32010139999999998</v>
      </c>
      <c r="Q41" s="34">
        <v>2.3230000000000001E-2</v>
      </c>
      <c r="S41" s="22">
        <f t="shared" si="1"/>
        <v>83.220512820512724</v>
      </c>
      <c r="T41" s="23">
        <f t="shared" si="2"/>
        <v>67</v>
      </c>
      <c r="U41" s="23">
        <f t="shared" si="3"/>
        <v>70</v>
      </c>
      <c r="V41" s="24">
        <f t="shared" si="0"/>
        <v>1000000</v>
      </c>
      <c r="W41" s="25">
        <f t="shared" si="4"/>
        <v>2.7854866892794705E-2</v>
      </c>
      <c r="X41" s="26">
        <f t="shared" si="5"/>
        <v>0.18886446886446739</v>
      </c>
      <c r="Y41" s="27"/>
    </row>
    <row r="42" spans="2:26" ht="14" thickBot="1" x14ac:dyDescent="0.2">
      <c r="B42" s="4"/>
      <c r="C42" s="6"/>
      <c r="D42" s="7"/>
      <c r="F42" s="30"/>
      <c r="G42" s="31"/>
      <c r="H42" s="32"/>
      <c r="I42" s="32"/>
      <c r="J42" s="34"/>
      <c r="K42" s="34"/>
      <c r="M42" s="30" t="s">
        <v>105</v>
      </c>
      <c r="N42" s="31">
        <v>3.25</v>
      </c>
      <c r="O42" s="32">
        <v>1000</v>
      </c>
      <c r="P42" s="33">
        <v>0.28088289999999999</v>
      </c>
      <c r="Q42" s="34">
        <v>2.0230000000000001E-2</v>
      </c>
      <c r="S42" s="77">
        <f t="shared" si="1"/>
        <v>83.999999999999901</v>
      </c>
      <c r="T42" s="78">
        <f t="shared" si="2"/>
        <v>67</v>
      </c>
      <c r="U42" s="23">
        <f t="shared" si="3"/>
        <v>70</v>
      </c>
      <c r="V42" s="79">
        <f t="shared" si="0"/>
        <v>1000000</v>
      </c>
      <c r="W42" s="80">
        <f t="shared" si="4"/>
        <v>2.7854866892794705E-2</v>
      </c>
      <c r="X42" s="26">
        <f t="shared" si="5"/>
        <v>0.19999999999999862</v>
      </c>
      <c r="Y42" s="27"/>
    </row>
    <row r="43" spans="2:26" ht="26" customHeight="1" x14ac:dyDescent="0.15">
      <c r="B43" s="4"/>
      <c r="C43" s="6" t="s">
        <v>106</v>
      </c>
      <c r="D43" s="7"/>
      <c r="F43" s="132" t="s">
        <v>107</v>
      </c>
      <c r="G43" s="134">
        <f>$C$67</f>
        <v>69.47492034124781</v>
      </c>
      <c r="H43" s="132" t="str">
        <f>TEXT($C$70,"#0.000%")</f>
        <v>2.785%</v>
      </c>
      <c r="I43" s="132" t="str">
        <f>"Client receives Investment Amount: " &amp; TEXT($D$7,"$#,#00.00")</f>
        <v>Client receives Investment Amount: $1,000,000.00</v>
      </c>
      <c r="J43" s="135" t="str">
        <f>TEXT($C$71,"#0.000%")</f>
        <v>-0.750%</v>
      </c>
      <c r="M43" s="30" t="s">
        <v>108</v>
      </c>
      <c r="N43" s="31">
        <v>5.73</v>
      </c>
      <c r="O43" s="32">
        <v>2000</v>
      </c>
      <c r="P43" s="33">
        <v>0.33458860000000001</v>
      </c>
      <c r="Q43" s="34">
        <v>1.8360000000000001E-2</v>
      </c>
      <c r="S43" s="81"/>
      <c r="T43" s="81"/>
      <c r="U43" s="81"/>
      <c r="V43" s="81"/>
      <c r="W43" s="82"/>
      <c r="X43" s="26"/>
      <c r="Y43" s="27"/>
      <c r="Z43" s="83"/>
    </row>
    <row r="44" spans="2:26" ht="26" customHeight="1" thickBot="1" x14ac:dyDescent="0.2">
      <c r="B44" s="84" t="s">
        <v>109</v>
      </c>
      <c r="C44" s="85">
        <f>MATCH($C$3,$M$4:$M$154,0)</f>
        <v>19</v>
      </c>
      <c r="D44" s="86"/>
      <c r="F44" s="133"/>
      <c r="G44" s="133"/>
      <c r="H44" s="133"/>
      <c r="I44" s="133"/>
      <c r="J44" s="136"/>
      <c r="K44" s="34"/>
      <c r="M44" s="30" t="s">
        <v>110</v>
      </c>
      <c r="N44" s="31">
        <v>19.559999999999999</v>
      </c>
      <c r="O44" s="32">
        <v>2000</v>
      </c>
      <c r="P44" s="33">
        <v>0.26065949999999999</v>
      </c>
      <c r="Q44" s="34">
        <v>1.4330000000000001E-2</v>
      </c>
      <c r="S44" s="22"/>
      <c r="T44" s="23"/>
      <c r="U44" s="23"/>
      <c r="V44" s="24"/>
      <c r="W44" s="25"/>
      <c r="X44" s="26"/>
      <c r="Y44" s="27"/>
      <c r="Z44" s="83"/>
    </row>
    <row r="45" spans="2:26" ht="14" thickBot="1" x14ac:dyDescent="0.2">
      <c r="B45" s="87"/>
      <c r="C45" s="88"/>
      <c r="D45" s="89"/>
      <c r="F45" s="30"/>
      <c r="G45" s="31"/>
      <c r="H45" s="32"/>
      <c r="I45" s="32"/>
      <c r="J45" s="34"/>
      <c r="K45" s="34"/>
      <c r="M45" s="30" t="s">
        <v>111</v>
      </c>
      <c r="N45" s="31">
        <v>24.95</v>
      </c>
      <c r="O45" s="32">
        <v>2000</v>
      </c>
      <c r="P45" s="33">
        <v>0.31994030000000001</v>
      </c>
      <c r="Q45" s="34">
        <v>6.4099999999999999E-3</v>
      </c>
    </row>
    <row r="46" spans="2:26" ht="26" customHeight="1" x14ac:dyDescent="0.15">
      <c r="B46" s="84" t="s">
        <v>112</v>
      </c>
      <c r="C46" s="88"/>
      <c r="D46" s="91"/>
      <c r="F46" s="132" t="s">
        <v>113</v>
      </c>
      <c r="G46" s="134">
        <f>$C$74</f>
        <v>67</v>
      </c>
      <c r="H46" s="132" t="str">
        <f>TEXT($C$77,"#0.000%")</f>
        <v>2.785%</v>
      </c>
      <c r="I46" s="132" t="str">
        <f>"Client receives " &amp;TEXT($C$32,"#,##0")&amp;" shares of "&amp;$G$3&amp; " (" &amp; TEXT($C$74,"$ #0.00")&amp;" x "&amp;TEXT($C$32,"#,##0")&amp;" = "&amp;TEXT($C$78,"#,##0")&amp;")"</f>
        <v>Client receives 14,925 shares of Cheung Kong Holdings Ltd ($ 67.00 x 14,925 = 1,000,000)</v>
      </c>
      <c r="J46" s="135" t="str">
        <f>TEXT($C$79,"#0.000%")</f>
        <v>-4.286%</v>
      </c>
      <c r="M46" s="30" t="s">
        <v>114</v>
      </c>
      <c r="N46" s="31">
        <v>15.38</v>
      </c>
      <c r="O46" s="32">
        <v>2000</v>
      </c>
      <c r="P46" s="33">
        <v>0.29902970000000001</v>
      </c>
      <c r="Q46" s="34">
        <v>2.2499999999999999E-2</v>
      </c>
    </row>
    <row r="47" spans="2:26" ht="26" customHeight="1" thickBot="1" x14ac:dyDescent="0.2">
      <c r="B47" s="84" t="s">
        <v>115</v>
      </c>
      <c r="C47" s="92">
        <f>MIN($C$9,$C$10)*0.8</f>
        <v>53.6</v>
      </c>
      <c r="D47" s="89"/>
      <c r="F47" s="133"/>
      <c r="G47" s="133"/>
      <c r="H47" s="133"/>
      <c r="I47" s="133"/>
      <c r="J47" s="136"/>
      <c r="M47" s="30" t="s">
        <v>116</v>
      </c>
      <c r="N47" s="31">
        <v>19.420000000000002</v>
      </c>
      <c r="O47" s="32">
        <v>2000</v>
      </c>
      <c r="P47" s="33">
        <v>0.2492316</v>
      </c>
      <c r="Q47" s="34">
        <v>2.7289999999999998E-2</v>
      </c>
    </row>
    <row r="48" spans="2:26" ht="14" thickBot="1" x14ac:dyDescent="0.2">
      <c r="B48" s="84" t="s">
        <v>117</v>
      </c>
      <c r="C48" s="92">
        <f>MAX($C$9,$C$10)*1.2</f>
        <v>84</v>
      </c>
      <c r="D48" s="89"/>
      <c r="F48" s="30"/>
      <c r="G48" s="31"/>
      <c r="H48" s="32"/>
      <c r="I48" s="32"/>
      <c r="J48" s="34"/>
      <c r="K48" s="34"/>
      <c r="M48" s="30" t="s">
        <v>118</v>
      </c>
      <c r="N48" s="31">
        <v>20.05</v>
      </c>
      <c r="O48" s="32">
        <v>500</v>
      </c>
      <c r="P48" s="33">
        <v>0.28909479999999999</v>
      </c>
      <c r="Q48" s="34">
        <v>6.0409999999999998E-2</v>
      </c>
    </row>
    <row r="49" spans="2:17" ht="26" customHeight="1" x14ac:dyDescent="0.15">
      <c r="B49" s="84" t="s">
        <v>119</v>
      </c>
      <c r="C49" s="88">
        <f>(C48-C47)/39</f>
        <v>0.77948717948717949</v>
      </c>
      <c r="D49" s="86"/>
      <c r="F49" s="132" t="s">
        <v>120</v>
      </c>
      <c r="G49" s="134">
        <f>$C$82</f>
        <v>61.925084999999989</v>
      </c>
      <c r="H49" s="132" t="str">
        <f>TEXT($C$85,"#0.000%")</f>
        <v>-5.000%</v>
      </c>
      <c r="I49" s="132" t="str">
        <f>"Client receives " &amp;TEXT($C$32,"#,##0")&amp;" shares of "&amp;$G$3&amp; " (" &amp; TEXT($C$82,"$ #0.00")&amp;" x "&amp;TEXT($C$32,"#,##0")&amp;" = "&amp;TEXT($C$86,"#,##0")&amp;")"</f>
        <v>Client receives 14,925 shares of Cheung Kong Holdings Ltd ($ 61.93 x 14,925 = 924,255)</v>
      </c>
      <c r="J49" s="135" t="str">
        <f>TEXT($C$87,"#0.000%")</f>
        <v>-11.536%</v>
      </c>
      <c r="M49" s="30" t="s">
        <v>121</v>
      </c>
      <c r="N49" s="31">
        <v>4.01</v>
      </c>
      <c r="O49" s="32">
        <v>2000</v>
      </c>
      <c r="P49" s="33">
        <v>1.0488459999999999</v>
      </c>
      <c r="Q49" s="34">
        <v>2.5000000000000001E-2</v>
      </c>
    </row>
    <row r="50" spans="2:17" ht="26" customHeight="1" thickBot="1" x14ac:dyDescent="0.2">
      <c r="B50" s="84" t="s">
        <v>122</v>
      </c>
      <c r="C50" s="88">
        <f>$C$14/365</f>
        <v>8.4931506849315067E-2</v>
      </c>
      <c r="D50" s="89"/>
      <c r="F50" s="133"/>
      <c r="G50" s="133"/>
      <c r="H50" s="133"/>
      <c r="I50" s="133"/>
      <c r="J50" s="136"/>
      <c r="K50" s="34"/>
      <c r="M50" s="30" t="s">
        <v>123</v>
      </c>
      <c r="N50" s="31">
        <v>2.5499999999999998</v>
      </c>
      <c r="O50" s="32">
        <v>2000</v>
      </c>
      <c r="P50" s="33">
        <v>0.37082219999999999</v>
      </c>
      <c r="Q50" s="34">
        <v>2.4809999999999999E-2</v>
      </c>
    </row>
    <row r="51" spans="2:17" x14ac:dyDescent="0.15">
      <c r="B51" s="87"/>
      <c r="C51" s="88"/>
      <c r="D51" s="89"/>
      <c r="H51" s="13"/>
      <c r="I51" s="13"/>
      <c r="M51" s="30" t="s">
        <v>124</v>
      </c>
      <c r="N51" s="31">
        <v>11.8</v>
      </c>
      <c r="O51" s="32">
        <v>2000</v>
      </c>
      <c r="P51" s="33">
        <v>0.31654019999999999</v>
      </c>
      <c r="Q51" s="34">
        <v>1.525E-2</v>
      </c>
    </row>
    <row r="52" spans="2:17" x14ac:dyDescent="0.15">
      <c r="B52" s="87" t="s">
        <v>125</v>
      </c>
      <c r="C52" s="88"/>
      <c r="D52" s="89"/>
      <c r="F52" s="52" t="s">
        <v>242</v>
      </c>
      <c r="G52" s="52"/>
      <c r="H52" s="52"/>
      <c r="I52" s="52"/>
      <c r="J52" s="52"/>
      <c r="M52" s="30" t="s">
        <v>126</v>
      </c>
      <c r="N52" s="31">
        <v>3.14</v>
      </c>
      <c r="O52" s="32">
        <v>2000</v>
      </c>
      <c r="P52" s="33">
        <v>0.20549799999999999</v>
      </c>
      <c r="Q52" s="34">
        <v>2.707E-2</v>
      </c>
    </row>
    <row r="53" spans="2:17" x14ac:dyDescent="0.15">
      <c r="B53" s="87" t="s">
        <v>127</v>
      </c>
      <c r="C53" s="93">
        <f>$D$28/365*$C$14</f>
        <v>2.7854866892794705E-2</v>
      </c>
      <c r="D53" s="89"/>
      <c r="F53" s="61"/>
      <c r="G53" s="52"/>
      <c r="H53" s="52"/>
      <c r="I53" s="52"/>
      <c r="J53" s="52"/>
      <c r="M53" s="30" t="s">
        <v>128</v>
      </c>
      <c r="N53" s="31">
        <v>9.1199999999999992</v>
      </c>
      <c r="O53" s="32">
        <v>2000</v>
      </c>
      <c r="P53" s="33">
        <v>0.23606559999999999</v>
      </c>
      <c r="Q53" s="34">
        <v>1.6650000000000002E-2</v>
      </c>
    </row>
    <row r="54" spans="2:17" x14ac:dyDescent="0.15">
      <c r="B54" s="87"/>
      <c r="C54" s="88"/>
      <c r="D54" s="91"/>
      <c r="F54" s="61"/>
      <c r="G54" s="52"/>
      <c r="H54" s="52"/>
      <c r="I54" s="52"/>
      <c r="J54" s="52"/>
      <c r="M54" s="30" t="s">
        <v>129</v>
      </c>
      <c r="N54" s="31">
        <v>19.02</v>
      </c>
      <c r="O54" s="32">
        <v>500</v>
      </c>
      <c r="P54" s="33">
        <v>0.4120664</v>
      </c>
      <c r="Q54" s="34">
        <v>8.9380000000000001E-2</v>
      </c>
    </row>
    <row r="55" spans="2:17" x14ac:dyDescent="0.15">
      <c r="B55" s="87"/>
      <c r="C55" s="88" t="s">
        <v>130</v>
      </c>
      <c r="D55" s="89"/>
      <c r="F55" s="61"/>
      <c r="G55" s="52"/>
      <c r="H55" s="52"/>
      <c r="I55" s="52"/>
      <c r="J55" s="52"/>
      <c r="M55" s="30" t="s">
        <v>131</v>
      </c>
      <c r="N55" s="31">
        <v>3.12</v>
      </c>
      <c r="O55" s="32">
        <v>1000</v>
      </c>
      <c r="P55" s="33">
        <v>0.23922199999999999</v>
      </c>
      <c r="Q55" s="34">
        <v>6.8589999999999998E-2</v>
      </c>
    </row>
    <row r="56" spans="2:17" ht="12.75" customHeight="1" x14ac:dyDescent="0.15">
      <c r="B56" s="87" t="s">
        <v>132</v>
      </c>
      <c r="C56" s="94">
        <f>(C29-D7)/C32+C10</f>
        <v>65.184299999999993</v>
      </c>
      <c r="D56" s="95"/>
      <c r="F56" s="61"/>
      <c r="G56" s="52"/>
      <c r="H56" s="52"/>
      <c r="I56" s="52"/>
      <c r="J56" s="52"/>
      <c r="M56" s="30" t="s">
        <v>133</v>
      </c>
      <c r="N56" s="31">
        <v>12.52</v>
      </c>
      <c r="O56" s="32">
        <v>200</v>
      </c>
      <c r="P56" s="33">
        <v>0.3208432</v>
      </c>
      <c r="Q56" s="34">
        <v>2.6190000000000001E-2</v>
      </c>
    </row>
    <row r="57" spans="2:17" x14ac:dyDescent="0.15">
      <c r="B57" s="87" t="s">
        <v>134</v>
      </c>
      <c r="C57" s="94">
        <f>(1+$C$53)*$C$10</f>
        <v>68.866276081817247</v>
      </c>
      <c r="D57" s="96"/>
      <c r="F57" s="61"/>
      <c r="G57" s="52"/>
      <c r="H57" s="52"/>
      <c r="I57" s="52"/>
      <c r="J57" s="52"/>
      <c r="M57" s="30" t="s">
        <v>135</v>
      </c>
      <c r="N57" s="31">
        <v>11.92</v>
      </c>
      <c r="O57" s="32">
        <v>1000</v>
      </c>
      <c r="P57" s="33">
        <v>0.29232130000000001</v>
      </c>
      <c r="Q57" s="34">
        <v>3.356E-2</v>
      </c>
    </row>
    <row r="58" spans="2:17" x14ac:dyDescent="0.15">
      <c r="B58" s="87"/>
      <c r="C58" s="88"/>
      <c r="D58" s="89"/>
      <c r="F58" s="61"/>
      <c r="G58" s="52"/>
      <c r="H58" s="52"/>
      <c r="I58" s="52"/>
      <c r="J58" s="52"/>
      <c r="M58" s="30" t="s">
        <v>136</v>
      </c>
      <c r="N58" s="31">
        <v>57.35</v>
      </c>
      <c r="O58" s="32">
        <v>500</v>
      </c>
      <c r="P58" s="33">
        <v>0.1319979</v>
      </c>
      <c r="Q58" s="34">
        <v>4.4729999999999999E-2</v>
      </c>
    </row>
    <row r="59" spans="2:17" x14ac:dyDescent="0.15">
      <c r="B59" s="97" t="s">
        <v>137</v>
      </c>
      <c r="C59" s="98"/>
      <c r="D59" s="89"/>
      <c r="F59" s="61"/>
      <c r="G59" s="52"/>
      <c r="H59" s="52"/>
      <c r="I59" s="52"/>
      <c r="J59" s="52"/>
      <c r="M59" s="30" t="s">
        <v>138</v>
      </c>
      <c r="N59" s="31">
        <v>11.74</v>
      </c>
      <c r="O59" s="32">
        <v>1000</v>
      </c>
      <c r="P59" s="33">
        <v>0.27795750000000002</v>
      </c>
      <c r="Q59" s="34">
        <v>4.8469999999999999E-2</v>
      </c>
    </row>
    <row r="60" spans="2:17" x14ac:dyDescent="0.15">
      <c r="B60" s="87" t="s">
        <v>44</v>
      </c>
      <c r="C60" s="94">
        <f>(C63+1)*MAX($C$9,$C$10)*1.05</f>
        <v>75.547332716620417</v>
      </c>
      <c r="D60" s="89"/>
      <c r="F60" s="61"/>
      <c r="G60" s="52"/>
      <c r="H60" s="52"/>
      <c r="I60" s="52"/>
      <c r="J60" s="52"/>
      <c r="M60" s="30" t="s">
        <v>139</v>
      </c>
      <c r="N60" s="31">
        <v>10.199999999999999</v>
      </c>
      <c r="O60" s="32">
        <v>2000</v>
      </c>
      <c r="P60" s="33">
        <v>0.24919939999999999</v>
      </c>
      <c r="Q60" s="34">
        <v>7.9269999999999993E-2</v>
      </c>
    </row>
    <row r="61" spans="2:17" x14ac:dyDescent="0.15">
      <c r="B61" s="87"/>
      <c r="C61" s="88"/>
      <c r="D61" s="89"/>
      <c r="F61" s="61"/>
      <c r="G61" s="52"/>
      <c r="H61" s="52"/>
      <c r="I61" s="52"/>
      <c r="J61" s="52"/>
      <c r="M61" s="30" t="s">
        <v>140</v>
      </c>
      <c r="N61" s="31">
        <v>2.86</v>
      </c>
      <c r="O61" s="32">
        <v>1000</v>
      </c>
      <c r="P61" s="33">
        <v>0.4679236</v>
      </c>
      <c r="Q61" s="34">
        <v>6.123E-2</v>
      </c>
    </row>
    <row r="62" spans="2:17" x14ac:dyDescent="0.15">
      <c r="B62" s="87"/>
      <c r="C62" s="99" t="s">
        <v>141</v>
      </c>
      <c r="D62" s="100"/>
      <c r="F62" s="61"/>
      <c r="G62" s="52"/>
      <c r="H62" s="52"/>
      <c r="I62" s="52"/>
      <c r="J62" s="52"/>
      <c r="M62" s="30" t="s">
        <v>142</v>
      </c>
      <c r="N62" s="31">
        <v>8.1300000000000008</v>
      </c>
      <c r="O62" s="32">
        <v>2000</v>
      </c>
      <c r="P62" s="33">
        <v>0.33579320000000001</v>
      </c>
      <c r="Q62" s="34">
        <v>1.2330000000000001E-2</v>
      </c>
    </row>
    <row r="63" spans="2:17" x14ac:dyDescent="0.15">
      <c r="B63" s="87" t="s">
        <v>143</v>
      </c>
      <c r="C63" s="101">
        <f>$C$53</f>
        <v>2.7854866892794705E-2</v>
      </c>
      <c r="D63" s="102"/>
      <c r="F63" s="61"/>
      <c r="G63" s="52"/>
      <c r="H63" s="52"/>
      <c r="I63" s="52"/>
      <c r="J63" s="52"/>
      <c r="M63" s="30" t="s">
        <v>144</v>
      </c>
      <c r="N63" s="31">
        <v>2.93</v>
      </c>
      <c r="O63" s="32">
        <v>2000</v>
      </c>
      <c r="P63" s="33">
        <v>0.26992169999999999</v>
      </c>
      <c r="Q63" s="34">
        <v>4.3020000000000003E-2</v>
      </c>
    </row>
    <row r="64" spans="2:17" x14ac:dyDescent="0.15">
      <c r="B64" s="87" t="s">
        <v>145</v>
      </c>
      <c r="C64" s="101">
        <f>C60/$C$9-1</f>
        <v>7.9247610237434429E-2</v>
      </c>
      <c r="D64" s="101"/>
      <c r="F64" s="61"/>
      <c r="G64" s="52"/>
      <c r="H64" s="52"/>
      <c r="I64" s="52"/>
      <c r="J64" s="52"/>
      <c r="M64" s="30" t="s">
        <v>146</v>
      </c>
      <c r="N64" s="31">
        <v>10.06</v>
      </c>
      <c r="O64" s="32">
        <v>2000</v>
      </c>
      <c r="P64" s="33">
        <v>0.3684095</v>
      </c>
      <c r="Q64" s="34">
        <v>1.881E-2</v>
      </c>
    </row>
    <row r="65" spans="2:17" x14ac:dyDescent="0.15">
      <c r="B65" s="87"/>
      <c r="C65" s="88"/>
      <c r="D65" s="89"/>
      <c r="F65" s="61"/>
      <c r="G65" s="52"/>
      <c r="H65" s="52"/>
      <c r="I65" s="52"/>
      <c r="J65" s="52"/>
      <c r="M65" s="30" t="s">
        <v>147</v>
      </c>
      <c r="N65" s="31">
        <v>50.05</v>
      </c>
      <c r="O65" s="32">
        <v>2000</v>
      </c>
      <c r="P65" s="33">
        <v>0.33674680000000001</v>
      </c>
      <c r="Q65" s="34">
        <v>8.43E-3</v>
      </c>
    </row>
    <row r="66" spans="2:17" x14ac:dyDescent="0.15">
      <c r="B66" s="103" t="s">
        <v>148</v>
      </c>
      <c r="D66" s="89"/>
      <c r="F66" s="61"/>
      <c r="G66" s="52"/>
      <c r="H66" s="52"/>
      <c r="I66" s="52"/>
      <c r="J66" s="52"/>
      <c r="M66" s="30" t="s">
        <v>149</v>
      </c>
      <c r="N66" s="31">
        <v>13.62</v>
      </c>
      <c r="O66" s="32">
        <v>100</v>
      </c>
      <c r="P66" s="33">
        <v>0.31121310000000002</v>
      </c>
      <c r="Q66" s="34">
        <v>2.2000000000000001E-3</v>
      </c>
    </row>
    <row r="67" spans="2:17" x14ac:dyDescent="0.15">
      <c r="B67" s="87" t="s">
        <v>44</v>
      </c>
      <c r="C67" s="94">
        <f>AVERAGE((C70+1)*C9,C10)</f>
        <v>69.47492034124781</v>
      </c>
      <c r="D67" s="104"/>
      <c r="F67" s="55"/>
      <c r="G67" s="52"/>
      <c r="H67" s="52"/>
      <c r="I67" s="52"/>
      <c r="J67" s="52"/>
      <c r="M67" s="30" t="s">
        <v>150</v>
      </c>
      <c r="N67" s="31">
        <v>3.34</v>
      </c>
      <c r="O67" s="32">
        <v>1000</v>
      </c>
      <c r="P67" s="33">
        <v>0.29763050000000002</v>
      </c>
      <c r="Q67" s="34">
        <v>5.4519999999999999E-2</v>
      </c>
    </row>
    <row r="68" spans="2:17" x14ac:dyDescent="0.15">
      <c r="B68" s="87"/>
      <c r="C68" s="88"/>
      <c r="D68" s="91"/>
      <c r="F68" s="55"/>
      <c r="G68" s="52"/>
      <c r="H68" s="52"/>
      <c r="I68" s="52"/>
      <c r="J68" s="52"/>
      <c r="K68" s="27"/>
      <c r="M68" s="30" t="s">
        <v>151</v>
      </c>
      <c r="N68" s="31">
        <v>8</v>
      </c>
      <c r="O68" s="32">
        <v>2000</v>
      </c>
      <c r="P68" s="33">
        <v>0.1987506</v>
      </c>
      <c r="Q68" s="34">
        <v>2.589E-2</v>
      </c>
    </row>
    <row r="69" spans="2:17" x14ac:dyDescent="0.15">
      <c r="B69" s="87"/>
      <c r="C69" s="99" t="s">
        <v>141</v>
      </c>
      <c r="D69" s="100"/>
      <c r="F69" s="55"/>
      <c r="G69" s="52"/>
      <c r="H69" s="52"/>
      <c r="I69" s="52"/>
      <c r="J69" s="52"/>
      <c r="M69" s="30" t="s">
        <v>152</v>
      </c>
      <c r="N69" s="31">
        <v>9.07</v>
      </c>
      <c r="O69" s="32">
        <v>500</v>
      </c>
      <c r="P69" s="33">
        <v>0.34417779999999998</v>
      </c>
      <c r="Q69" s="34">
        <v>1.874E-2</v>
      </c>
    </row>
    <row r="70" spans="2:17" x14ac:dyDescent="0.15">
      <c r="B70" s="87" t="s">
        <v>143</v>
      </c>
      <c r="C70" s="101">
        <f>$C$53</f>
        <v>2.7854866892794705E-2</v>
      </c>
      <c r="G70" s="52"/>
      <c r="H70" s="52"/>
      <c r="I70" s="52"/>
      <c r="J70" s="52"/>
      <c r="K70" s="105"/>
      <c r="M70" s="30" t="s">
        <v>153</v>
      </c>
      <c r="N70" s="31">
        <v>34.950000000000003</v>
      </c>
      <c r="O70" s="32">
        <v>500</v>
      </c>
      <c r="P70" s="33">
        <v>0.44156770000000001</v>
      </c>
      <c r="Q70" s="34">
        <v>2.0580000000000001E-2</v>
      </c>
    </row>
    <row r="71" spans="2:17" x14ac:dyDescent="0.15">
      <c r="B71" s="87" t="s">
        <v>145</v>
      </c>
      <c r="C71" s="101">
        <f>$C$67/$C$9-1</f>
        <v>-7.5011379821741109E-3</v>
      </c>
      <c r="D71" s="101"/>
      <c r="F71" s="55"/>
      <c r="G71" s="52"/>
      <c r="H71" s="52"/>
      <c r="I71" s="52"/>
      <c r="J71" s="52"/>
      <c r="M71" s="30" t="s">
        <v>154</v>
      </c>
      <c r="N71" s="31">
        <v>7.39</v>
      </c>
      <c r="O71" s="32">
        <v>2000</v>
      </c>
      <c r="P71" s="33">
        <v>0.26904109999999998</v>
      </c>
      <c r="Q71" s="34">
        <v>2.7060000000000001E-2</v>
      </c>
    </row>
    <row r="72" spans="2:17" x14ac:dyDescent="0.15">
      <c r="B72" s="87"/>
      <c r="C72" s="88"/>
      <c r="D72" s="89"/>
      <c r="H72" s="106"/>
      <c r="M72" s="30" t="s">
        <v>155</v>
      </c>
      <c r="N72" s="31">
        <v>7.57</v>
      </c>
      <c r="O72" s="32">
        <v>2000</v>
      </c>
      <c r="P72" s="33">
        <v>0.43400660000000002</v>
      </c>
      <c r="Q72" s="34">
        <v>1.34E-2</v>
      </c>
    </row>
    <row r="73" spans="2:17" x14ac:dyDescent="0.15">
      <c r="B73" s="97" t="s">
        <v>156</v>
      </c>
      <c r="C73" s="88"/>
      <c r="D73" s="89"/>
      <c r="F73" s="55"/>
      <c r="H73" s="106"/>
      <c r="M73" s="30" t="s">
        <v>157</v>
      </c>
      <c r="N73" s="31">
        <v>27.65</v>
      </c>
      <c r="O73" s="32">
        <v>2000</v>
      </c>
      <c r="P73" s="33">
        <v>0.51603069999999995</v>
      </c>
      <c r="Q73" s="34">
        <v>2.7799999999999999E-3</v>
      </c>
    </row>
    <row r="74" spans="2:17" x14ac:dyDescent="0.15">
      <c r="B74" s="87" t="s">
        <v>44</v>
      </c>
      <c r="C74" s="94">
        <f>C10</f>
        <v>67</v>
      </c>
      <c r="D74" s="89"/>
      <c r="H74" s="27"/>
      <c r="M74" s="30" t="s">
        <v>158</v>
      </c>
      <c r="N74" s="31">
        <v>9.7100000000000009</v>
      </c>
      <c r="O74" s="32">
        <v>400</v>
      </c>
      <c r="P74" s="33">
        <v>0.30336190000000002</v>
      </c>
      <c r="Q74" s="34">
        <v>8.0879999999999994E-2</v>
      </c>
    </row>
    <row r="75" spans="2:17" x14ac:dyDescent="0.15">
      <c r="B75" s="87"/>
      <c r="C75" s="88"/>
      <c r="D75" s="89"/>
      <c r="H75" s="107"/>
      <c r="M75" s="30" t="s">
        <v>159</v>
      </c>
      <c r="N75" s="31">
        <v>93.9</v>
      </c>
      <c r="O75" s="32">
        <v>1000</v>
      </c>
      <c r="P75" s="33">
        <v>0.1185514</v>
      </c>
      <c r="Q75" s="34">
        <v>2.6620000000000001E-2</v>
      </c>
    </row>
    <row r="76" spans="2:17" x14ac:dyDescent="0.15">
      <c r="B76" s="87"/>
      <c r="C76" s="99" t="s">
        <v>141</v>
      </c>
      <c r="D76" s="100"/>
      <c r="M76" s="30" t="s">
        <v>160</v>
      </c>
      <c r="N76" s="31">
        <v>20.149999999999999</v>
      </c>
      <c r="O76" s="32">
        <v>1000</v>
      </c>
      <c r="P76" s="33">
        <v>0.52188279999999998</v>
      </c>
      <c r="Q76" s="34">
        <v>3.98E-3</v>
      </c>
    </row>
    <row r="77" spans="2:17" x14ac:dyDescent="0.15">
      <c r="B77" s="87" t="s">
        <v>143</v>
      </c>
      <c r="C77" s="93">
        <f>(-MAX($C$10-C74,0)*$C$32+$D$7)/$C$29-1</f>
        <v>2.7854866892794705E-2</v>
      </c>
      <c r="D77" s="101"/>
      <c r="M77" s="30" t="s">
        <v>161</v>
      </c>
      <c r="N77" s="31">
        <v>15.54</v>
      </c>
      <c r="O77" s="32">
        <v>1000</v>
      </c>
      <c r="P77" s="33">
        <v>0.3300322</v>
      </c>
      <c r="Q77" s="34">
        <v>1.9279999999999999E-2</v>
      </c>
    </row>
    <row r="78" spans="2:17" x14ac:dyDescent="0.15">
      <c r="B78" s="87" t="s">
        <v>162</v>
      </c>
      <c r="C78" s="91">
        <f>$C$32*C74</f>
        <v>1000000</v>
      </c>
      <c r="D78" s="101"/>
      <c r="M78" s="30" t="s">
        <v>163</v>
      </c>
      <c r="N78" s="31">
        <v>36.1</v>
      </c>
      <c r="O78" s="32">
        <v>1000</v>
      </c>
      <c r="P78" s="33">
        <v>0.18554989999999999</v>
      </c>
      <c r="Q78" s="34">
        <v>2.188E-2</v>
      </c>
    </row>
    <row r="79" spans="2:17" x14ac:dyDescent="0.15">
      <c r="B79" s="87" t="s">
        <v>145</v>
      </c>
      <c r="C79" s="93">
        <f>C74/$C$9-1</f>
        <v>-4.2857142857142816E-2</v>
      </c>
      <c r="D79" s="101"/>
      <c r="M79" s="30" t="s">
        <v>164</v>
      </c>
      <c r="N79" s="31">
        <v>20.65</v>
      </c>
      <c r="O79" s="32">
        <v>1000</v>
      </c>
      <c r="P79" s="33">
        <v>0.25275219999999998</v>
      </c>
      <c r="Q79" s="34">
        <v>3.5920000000000001E-2</v>
      </c>
    </row>
    <row r="80" spans="2:17" x14ac:dyDescent="0.15">
      <c r="B80" s="87"/>
      <c r="C80" s="88"/>
      <c r="D80" s="89"/>
      <c r="M80" s="30" t="s">
        <v>165</v>
      </c>
      <c r="N80" s="31">
        <v>119.5</v>
      </c>
      <c r="O80" s="32">
        <v>100</v>
      </c>
      <c r="P80" s="33">
        <v>0.12997429999999999</v>
      </c>
      <c r="Q80" s="34">
        <v>4.5990000000000003E-2</v>
      </c>
    </row>
    <row r="81" spans="2:17" x14ac:dyDescent="0.15">
      <c r="B81" s="103" t="s">
        <v>166</v>
      </c>
      <c r="D81" s="89"/>
      <c r="M81" s="30" t="s">
        <v>167</v>
      </c>
      <c r="N81" s="31">
        <v>218.8</v>
      </c>
      <c r="O81" s="32">
        <v>100</v>
      </c>
      <c r="P81" s="33">
        <v>0.1556678</v>
      </c>
      <c r="Q81" s="34">
        <v>2.9250000000000002E-2</v>
      </c>
    </row>
    <row r="82" spans="2:17" x14ac:dyDescent="0.15">
      <c r="B82" s="87" t="s">
        <v>44</v>
      </c>
      <c r="C82" s="92">
        <f>MIN($C$9,$C$10,$C$56)*0.95</f>
        <v>61.925084999999989</v>
      </c>
      <c r="D82" s="96">
        <f>C82*C32/C29-1</f>
        <v>-5.0000000000000266E-2</v>
      </c>
      <c r="M82" s="30" t="s">
        <v>168</v>
      </c>
      <c r="N82" s="31">
        <v>41.55</v>
      </c>
      <c r="O82" s="32">
        <v>1000</v>
      </c>
      <c r="P82" s="33">
        <v>0.1889826</v>
      </c>
      <c r="Q82" s="34">
        <v>2.392E-2</v>
      </c>
    </row>
    <row r="83" spans="2:17" x14ac:dyDescent="0.15">
      <c r="B83" s="87"/>
      <c r="C83" s="88"/>
      <c r="D83" s="89"/>
      <c r="M83" s="30" t="s">
        <v>169</v>
      </c>
      <c r="N83" s="31">
        <v>82.25</v>
      </c>
      <c r="O83" s="32">
        <v>500</v>
      </c>
      <c r="P83" s="33">
        <v>0.30233470000000001</v>
      </c>
      <c r="Q83" s="34">
        <v>2.1899999999999999E-2</v>
      </c>
    </row>
    <row r="84" spans="2:17" x14ac:dyDescent="0.15">
      <c r="B84" s="87"/>
      <c r="C84" s="99" t="s">
        <v>141</v>
      </c>
      <c r="D84" s="100"/>
      <c r="H84" s="52"/>
      <c r="M84" s="30" t="s">
        <v>170</v>
      </c>
      <c r="N84" s="31">
        <v>8.11</v>
      </c>
      <c r="O84" s="32">
        <v>1000</v>
      </c>
      <c r="P84" s="33">
        <v>0.32355279999999997</v>
      </c>
      <c r="Q84" s="34">
        <v>5.568E-2</v>
      </c>
    </row>
    <row r="85" spans="2:17" x14ac:dyDescent="0.15">
      <c r="B85" s="87" t="s">
        <v>143</v>
      </c>
      <c r="C85" s="93">
        <f>(-MAX($C$10-C82,0)*$C$32+$D$7)/$C$29-1</f>
        <v>-5.0000000000000266E-2</v>
      </c>
      <c r="D85" s="101"/>
      <c r="H85" s="52"/>
      <c r="M85" s="30" t="s">
        <v>171</v>
      </c>
      <c r="N85" s="31">
        <v>16.260000000000002</v>
      </c>
      <c r="O85" s="32">
        <v>1000</v>
      </c>
      <c r="P85" s="33">
        <v>0.1458071</v>
      </c>
      <c r="Q85" s="34">
        <v>2.0240000000000001E-2</v>
      </c>
    </row>
    <row r="86" spans="2:17" x14ac:dyDescent="0.15">
      <c r="B86" s="87" t="s">
        <v>162</v>
      </c>
      <c r="C86" s="91">
        <f>$C$32*C82</f>
        <v>924254.99999999977</v>
      </c>
      <c r="D86" s="89"/>
      <c r="H86" s="52"/>
      <c r="M86" s="30" t="s">
        <v>172</v>
      </c>
      <c r="N86" s="31">
        <v>115.4</v>
      </c>
      <c r="O86" s="32">
        <v>100</v>
      </c>
      <c r="P86" s="33">
        <v>0.16817380000000001</v>
      </c>
      <c r="Q86" s="34">
        <v>2.845E-2</v>
      </c>
    </row>
    <row r="87" spans="2:17" x14ac:dyDescent="0.15">
      <c r="B87" s="87" t="s">
        <v>145</v>
      </c>
      <c r="C87" s="93">
        <f>C82/$C$9-1</f>
        <v>-0.11535592857142873</v>
      </c>
      <c r="D87" s="91"/>
      <c r="H87" s="52"/>
      <c r="M87" s="30" t="s">
        <v>173</v>
      </c>
      <c r="N87" s="31">
        <v>4.05</v>
      </c>
      <c r="O87" s="32">
        <v>2000</v>
      </c>
      <c r="P87" s="33">
        <v>0.4275332</v>
      </c>
      <c r="Q87" s="34">
        <v>9.0500000000000008E-3</v>
      </c>
    </row>
    <row r="88" spans="2:17" x14ac:dyDescent="0.15">
      <c r="B88" s="87"/>
      <c r="C88" s="88"/>
      <c r="D88" s="89"/>
      <c r="H88" s="52"/>
      <c r="I88" s="105"/>
      <c r="J88" s="105"/>
      <c r="M88" s="30" t="s">
        <v>174</v>
      </c>
      <c r="N88" s="31">
        <v>7.15</v>
      </c>
      <c r="O88" s="32">
        <v>2000</v>
      </c>
      <c r="P88" s="33">
        <v>0.29477890000000001</v>
      </c>
      <c r="Q88" s="34">
        <v>3.7130000000000003E-2</v>
      </c>
    </row>
    <row r="89" spans="2:17" x14ac:dyDescent="0.15">
      <c r="B89" s="87"/>
      <c r="C89" s="88"/>
      <c r="D89" s="89"/>
      <c r="H89" s="52"/>
      <c r="I89" s="105"/>
      <c r="J89" s="105"/>
      <c r="M89" s="30" t="s">
        <v>175</v>
      </c>
      <c r="N89" s="31">
        <v>3.1</v>
      </c>
      <c r="O89" s="32">
        <v>2000</v>
      </c>
      <c r="P89" s="33">
        <v>0.41549900000000001</v>
      </c>
      <c r="Q89" s="34">
        <v>6.0899999999999999E-3</v>
      </c>
    </row>
    <row r="90" spans="2:17" x14ac:dyDescent="0.15">
      <c r="B90" s="87"/>
      <c r="C90" s="108"/>
      <c r="D90" s="96"/>
      <c r="H90" s="52"/>
      <c r="M90" s="30" t="s">
        <v>176</v>
      </c>
      <c r="N90" s="31">
        <v>109</v>
      </c>
      <c r="O90" s="32">
        <v>1000</v>
      </c>
      <c r="P90" s="33">
        <v>0.21364910000000001</v>
      </c>
      <c r="Q90" s="34">
        <v>1.9560000000000001E-2</v>
      </c>
    </row>
    <row r="91" spans="2:17" x14ac:dyDescent="0.15">
      <c r="B91" s="87"/>
      <c r="C91" s="108"/>
      <c r="D91" s="89"/>
      <c r="H91" s="52"/>
      <c r="M91" s="30" t="s">
        <v>177</v>
      </c>
      <c r="N91" s="31">
        <v>34.15</v>
      </c>
      <c r="O91" s="32">
        <v>1000</v>
      </c>
      <c r="P91" s="33">
        <v>0.22771930000000001</v>
      </c>
      <c r="Q91" s="34">
        <v>2.9329999999999998E-2</v>
      </c>
    </row>
    <row r="92" spans="2:17" x14ac:dyDescent="0.15">
      <c r="B92" s="87"/>
      <c r="C92" s="88"/>
      <c r="D92" s="89"/>
      <c r="H92" s="52"/>
      <c r="M92" s="30" t="s">
        <v>178</v>
      </c>
      <c r="N92" s="31">
        <v>8.11</v>
      </c>
      <c r="O92" s="32">
        <v>100</v>
      </c>
      <c r="P92" s="33">
        <v>0.1958387</v>
      </c>
      <c r="Q92" s="34">
        <v>3.2099999999999997E-2</v>
      </c>
    </row>
    <row r="93" spans="2:17" x14ac:dyDescent="0.15">
      <c r="B93" s="87"/>
      <c r="C93" s="110"/>
      <c r="D93" s="89"/>
      <c r="H93" s="52"/>
      <c r="M93" s="30" t="s">
        <v>179</v>
      </c>
      <c r="N93" s="31">
        <v>8.91</v>
      </c>
      <c r="O93" s="32">
        <v>2000</v>
      </c>
      <c r="P93" s="33">
        <v>0.34919630000000002</v>
      </c>
      <c r="Q93" s="34">
        <v>5.1090000000000003E-2</v>
      </c>
    </row>
    <row r="94" spans="2:17" x14ac:dyDescent="0.15">
      <c r="B94" s="87"/>
      <c r="C94" s="88"/>
      <c r="D94" s="89"/>
      <c r="M94" s="30" t="s">
        <v>180</v>
      </c>
      <c r="N94" s="31">
        <v>11.88</v>
      </c>
      <c r="O94" s="32">
        <v>1000</v>
      </c>
      <c r="P94" s="33">
        <v>0.20823169999999999</v>
      </c>
      <c r="Q94" s="34">
        <v>5.3280000000000001E-2</v>
      </c>
    </row>
    <row r="95" spans="2:17" x14ac:dyDescent="0.15">
      <c r="M95" s="30" t="s">
        <v>181</v>
      </c>
      <c r="N95" s="31">
        <v>23.7</v>
      </c>
      <c r="O95" s="32">
        <v>500</v>
      </c>
      <c r="P95" s="33">
        <v>0.29634129999999997</v>
      </c>
      <c r="Q95" s="34">
        <v>3.789E-2</v>
      </c>
    </row>
    <row r="96" spans="2:17" x14ac:dyDescent="0.15">
      <c r="M96" s="30" t="s">
        <v>182</v>
      </c>
      <c r="N96" s="31">
        <v>30.6</v>
      </c>
      <c r="O96" s="32">
        <v>1000</v>
      </c>
      <c r="P96" s="33">
        <v>0.4883361</v>
      </c>
      <c r="Q96" s="34">
        <v>3.5799999999999998E-3</v>
      </c>
    </row>
    <row r="97" spans="13:17" x14ac:dyDescent="0.15">
      <c r="M97" s="30" t="s">
        <v>183</v>
      </c>
      <c r="N97" s="31">
        <v>13.68</v>
      </c>
      <c r="O97" s="32">
        <v>2000</v>
      </c>
      <c r="P97" s="33">
        <v>0.22606670000000001</v>
      </c>
      <c r="Q97" s="34">
        <v>1.6809999999999999E-2</v>
      </c>
    </row>
    <row r="98" spans="13:17" x14ac:dyDescent="0.15">
      <c r="M98" s="30" t="s">
        <v>184</v>
      </c>
      <c r="N98" s="31">
        <v>8.51</v>
      </c>
      <c r="O98" s="32">
        <v>2000</v>
      </c>
      <c r="P98" s="33">
        <v>0.48271389999999997</v>
      </c>
      <c r="Q98" s="34">
        <v>2.35E-2</v>
      </c>
    </row>
    <row r="99" spans="13:17" x14ac:dyDescent="0.15">
      <c r="M99" s="30" t="s">
        <v>185</v>
      </c>
      <c r="N99" s="31">
        <v>10.28</v>
      </c>
      <c r="O99" s="32">
        <v>2000</v>
      </c>
      <c r="P99" s="33">
        <v>0.25909680000000002</v>
      </c>
      <c r="Q99" s="34">
        <v>3.0159999999999999E-2</v>
      </c>
    </row>
    <row r="100" spans="13:17" x14ac:dyDescent="0.15">
      <c r="M100" s="30" t="s">
        <v>186</v>
      </c>
      <c r="N100" s="31">
        <v>37.1</v>
      </c>
      <c r="O100" s="32">
        <v>500</v>
      </c>
      <c r="P100" s="33">
        <v>0.16380919999999999</v>
      </c>
      <c r="Q100" s="34">
        <v>4.1939999999999998E-2</v>
      </c>
    </row>
    <row r="101" spans="13:17" x14ac:dyDescent="0.15">
      <c r="M101" s="30" t="s">
        <v>187</v>
      </c>
      <c r="N101" s="31">
        <v>18.02</v>
      </c>
      <c r="O101" s="32">
        <v>250</v>
      </c>
      <c r="P101" s="33">
        <v>0.3128322</v>
      </c>
      <c r="Q101" s="34">
        <v>1.7069999999999998E-2</v>
      </c>
    </row>
    <row r="102" spans="13:17" x14ac:dyDescent="0.15">
      <c r="M102" s="30" t="s">
        <v>188</v>
      </c>
      <c r="N102" s="31">
        <v>9.2100000000000009</v>
      </c>
      <c r="O102" s="32">
        <v>500</v>
      </c>
      <c r="P102" s="33">
        <v>0.29651499999999997</v>
      </c>
      <c r="Q102" s="34">
        <v>2.7470000000000001E-2</v>
      </c>
    </row>
    <row r="103" spans="13:17" x14ac:dyDescent="0.15">
      <c r="M103" s="30" t="s">
        <v>189</v>
      </c>
      <c r="N103" s="31">
        <v>27.2</v>
      </c>
      <c r="O103" s="32">
        <v>1000</v>
      </c>
      <c r="P103" s="33">
        <v>0.3632552</v>
      </c>
      <c r="Q103" s="34">
        <v>5.5000000000000003E-4</v>
      </c>
    </row>
    <row r="104" spans="13:17" x14ac:dyDescent="0.15">
      <c r="M104" s="30" t="s">
        <v>190</v>
      </c>
      <c r="N104" s="31">
        <v>30</v>
      </c>
      <c r="O104" s="32">
        <v>400</v>
      </c>
      <c r="P104" s="33">
        <v>0.35049190000000002</v>
      </c>
      <c r="Q104" s="34">
        <v>4.1669999999999999E-2</v>
      </c>
    </row>
    <row r="105" spans="13:17" x14ac:dyDescent="0.15">
      <c r="M105" s="30" t="s">
        <v>191</v>
      </c>
      <c r="N105" s="31">
        <v>27.8</v>
      </c>
      <c r="O105" s="32">
        <v>500</v>
      </c>
      <c r="P105" s="33">
        <v>0.1437203</v>
      </c>
      <c r="Q105" s="34">
        <v>2.8420000000000001E-2</v>
      </c>
    </row>
    <row r="106" spans="13:17" x14ac:dyDescent="0.15">
      <c r="M106" s="30" t="s">
        <v>192</v>
      </c>
      <c r="N106" s="31">
        <v>6.41</v>
      </c>
      <c r="O106" s="32">
        <v>2000</v>
      </c>
      <c r="P106" s="33">
        <v>0.5193586</v>
      </c>
      <c r="Q106" s="34">
        <v>1.089E-2</v>
      </c>
    </row>
    <row r="107" spans="13:17" x14ac:dyDescent="0.15">
      <c r="M107" s="30" t="s">
        <v>193</v>
      </c>
      <c r="N107" s="31">
        <v>8.02</v>
      </c>
      <c r="O107" s="32">
        <v>1000</v>
      </c>
      <c r="P107" s="33">
        <v>0.35422710000000002</v>
      </c>
      <c r="Q107" s="34">
        <v>5.2240000000000002E-2</v>
      </c>
    </row>
    <row r="108" spans="13:17" x14ac:dyDescent="0.15">
      <c r="M108" s="30" t="s">
        <v>194</v>
      </c>
      <c r="N108" s="31">
        <v>5.55</v>
      </c>
      <c r="O108" s="32">
        <v>1000</v>
      </c>
      <c r="P108" s="33">
        <v>0.35147210000000001</v>
      </c>
      <c r="Q108" s="34">
        <v>2.2950000000000002E-2</v>
      </c>
    </row>
    <row r="109" spans="13:17" x14ac:dyDescent="0.15">
      <c r="M109" s="30" t="s">
        <v>195</v>
      </c>
      <c r="N109" s="31">
        <v>12.8</v>
      </c>
      <c r="O109" s="32">
        <v>1000</v>
      </c>
      <c r="P109" s="33">
        <v>0.2748526</v>
      </c>
      <c r="Q109" s="34">
        <v>4.8439999999999997E-2</v>
      </c>
    </row>
    <row r="110" spans="13:17" x14ac:dyDescent="0.15">
      <c r="M110" s="30" t="s">
        <v>196</v>
      </c>
      <c r="N110" s="31">
        <v>3.83</v>
      </c>
      <c r="O110" s="32">
        <v>1000</v>
      </c>
      <c r="P110" s="33">
        <v>0.2451692</v>
      </c>
      <c r="Q110" s="34">
        <v>5.1819999999999998E-2</v>
      </c>
    </row>
    <row r="111" spans="13:17" x14ac:dyDescent="0.15">
      <c r="M111" s="30" t="s">
        <v>197</v>
      </c>
      <c r="N111" s="31">
        <v>3.17</v>
      </c>
      <c r="O111" s="32">
        <v>1000</v>
      </c>
      <c r="P111" s="33">
        <v>0.2250982</v>
      </c>
      <c r="Q111" s="34">
        <v>1.5200000000000001E-3</v>
      </c>
    </row>
    <row r="112" spans="13:17" x14ac:dyDescent="0.15">
      <c r="M112" s="30" t="s">
        <v>198</v>
      </c>
      <c r="N112" s="31">
        <v>7.7</v>
      </c>
      <c r="O112" s="32">
        <v>2000</v>
      </c>
      <c r="P112" s="33">
        <v>0.21358930000000001</v>
      </c>
      <c r="Q112" s="34">
        <v>4.8140000000000002E-2</v>
      </c>
    </row>
    <row r="113" spans="13:17" x14ac:dyDescent="0.15">
      <c r="M113" s="30" t="s">
        <v>199</v>
      </c>
      <c r="N113" s="31">
        <v>10.039999999999999</v>
      </c>
      <c r="O113" s="32">
        <v>2000</v>
      </c>
      <c r="P113" s="33">
        <v>0.33334019999999998</v>
      </c>
      <c r="Q113" s="34">
        <v>3.0599999999999999E-2</v>
      </c>
    </row>
    <row r="114" spans="13:17" x14ac:dyDescent="0.15">
      <c r="M114" s="30" t="s">
        <v>200</v>
      </c>
      <c r="N114" s="31">
        <v>60.9</v>
      </c>
      <c r="O114" s="32">
        <v>500</v>
      </c>
      <c r="P114" s="33">
        <v>0.32682739999999999</v>
      </c>
      <c r="Q114" s="34">
        <v>1.039E-2</v>
      </c>
    </row>
    <row r="115" spans="13:17" x14ac:dyDescent="0.15">
      <c r="M115" s="30" t="s">
        <v>201</v>
      </c>
      <c r="N115" s="31">
        <v>63.9</v>
      </c>
      <c r="O115" s="32">
        <v>500</v>
      </c>
      <c r="P115" s="33">
        <v>0.1688182</v>
      </c>
      <c r="Q115" s="34">
        <v>3.884E-2</v>
      </c>
    </row>
    <row r="116" spans="13:17" x14ac:dyDescent="0.15">
      <c r="M116" s="30" t="s">
        <v>202</v>
      </c>
      <c r="N116" s="31">
        <v>55.15</v>
      </c>
      <c r="O116" s="32">
        <v>100</v>
      </c>
      <c r="P116" s="33">
        <v>0.30243330000000002</v>
      </c>
      <c r="Q116" s="34">
        <v>1.6299999999999999E-2</v>
      </c>
    </row>
    <row r="117" spans="13:17" x14ac:dyDescent="0.15">
      <c r="M117" s="30" t="s">
        <v>203</v>
      </c>
      <c r="N117" s="31">
        <v>22.65</v>
      </c>
      <c r="O117" s="32">
        <v>300</v>
      </c>
      <c r="P117" s="33">
        <v>0.35192990000000002</v>
      </c>
      <c r="Q117" s="34">
        <v>9.1500000000000001E-3</v>
      </c>
    </row>
    <row r="118" spans="13:17" x14ac:dyDescent="0.15">
      <c r="M118" s="30" t="s">
        <v>204</v>
      </c>
      <c r="N118" s="31">
        <v>61.8</v>
      </c>
      <c r="O118" s="32">
        <v>400</v>
      </c>
      <c r="P118" s="33">
        <v>0.36229739999999999</v>
      </c>
      <c r="Q118" s="34">
        <v>3.7159999999999999E-2</v>
      </c>
    </row>
    <row r="119" spans="13:17" x14ac:dyDescent="0.15">
      <c r="M119" s="30" t="s">
        <v>205</v>
      </c>
      <c r="N119" s="31">
        <v>9.36</v>
      </c>
      <c r="O119" s="32">
        <v>4000</v>
      </c>
      <c r="P119" s="33">
        <v>0.65083749999999996</v>
      </c>
      <c r="Q119" s="34">
        <v>8.3999999999999995E-3</v>
      </c>
    </row>
    <row r="120" spans="13:17" x14ac:dyDescent="0.15">
      <c r="M120" s="30" t="s">
        <v>206</v>
      </c>
      <c r="N120" s="31">
        <v>25.25</v>
      </c>
      <c r="O120" s="32">
        <v>1000</v>
      </c>
      <c r="P120" s="33">
        <v>0.28786689999999998</v>
      </c>
      <c r="Q120" s="34">
        <v>3.9530000000000003E-2</v>
      </c>
    </row>
    <row r="121" spans="13:17" x14ac:dyDescent="0.15">
      <c r="M121" s="30" t="s">
        <v>207</v>
      </c>
      <c r="N121" s="31">
        <v>12.46</v>
      </c>
      <c r="O121" s="32">
        <v>2000</v>
      </c>
      <c r="P121" s="33">
        <v>0.2380157</v>
      </c>
      <c r="Q121" s="34">
        <v>1.4449999999999999E-2</v>
      </c>
    </row>
    <row r="122" spans="13:17" x14ac:dyDescent="0.15">
      <c r="M122" s="30" t="s">
        <v>208</v>
      </c>
      <c r="N122" s="31">
        <v>24.7</v>
      </c>
      <c r="O122" s="32">
        <v>1000</v>
      </c>
      <c r="P122" s="33">
        <v>0.40539399999999998</v>
      </c>
      <c r="Q122" s="34">
        <v>2.8340000000000001E-2</v>
      </c>
    </row>
    <row r="123" spans="13:17" x14ac:dyDescent="0.15">
      <c r="M123" s="30" t="s">
        <v>209</v>
      </c>
      <c r="N123" s="31">
        <v>13.86</v>
      </c>
      <c r="O123" s="32">
        <v>500</v>
      </c>
      <c r="P123" s="33">
        <v>0.39528740000000001</v>
      </c>
      <c r="Q123" s="34">
        <v>3.9570000000000001E-2</v>
      </c>
    </row>
    <row r="124" spans="13:17" x14ac:dyDescent="0.15">
      <c r="M124" s="30" t="s">
        <v>210</v>
      </c>
      <c r="N124" s="31">
        <v>9.5500000000000007</v>
      </c>
      <c r="O124" s="32">
        <v>1000</v>
      </c>
      <c r="P124" s="33">
        <v>0.37937609999999999</v>
      </c>
      <c r="Q124" s="34">
        <v>1.338E-2</v>
      </c>
    </row>
    <row r="125" spans="13:17" x14ac:dyDescent="0.15">
      <c r="M125" s="30" t="s">
        <v>211</v>
      </c>
      <c r="N125" s="31">
        <v>7.55</v>
      </c>
      <c r="O125" s="32">
        <v>4000</v>
      </c>
      <c r="P125" s="33">
        <v>0.39185799999999998</v>
      </c>
      <c r="Q125" s="34">
        <v>6.6299999999999996E-3</v>
      </c>
    </row>
    <row r="126" spans="13:17" x14ac:dyDescent="0.15">
      <c r="M126" s="30" t="s">
        <v>212</v>
      </c>
      <c r="N126" s="31">
        <v>10.74</v>
      </c>
      <c r="O126" s="32">
        <v>2000</v>
      </c>
      <c r="P126" s="33">
        <v>0.17700289999999999</v>
      </c>
      <c r="Q126" s="34">
        <v>4.6640000000000001E-2</v>
      </c>
    </row>
    <row r="127" spans="13:17" x14ac:dyDescent="0.15">
      <c r="M127" s="30" t="s">
        <v>213</v>
      </c>
      <c r="N127" s="31">
        <v>3.87</v>
      </c>
      <c r="O127" s="32">
        <v>500</v>
      </c>
      <c r="P127" s="33">
        <v>0.31655709999999998</v>
      </c>
      <c r="Q127" s="34">
        <v>6.2179999999999999E-2</v>
      </c>
    </row>
    <row r="128" spans="13:17" x14ac:dyDescent="0.15">
      <c r="M128" s="30" t="s">
        <v>214</v>
      </c>
      <c r="N128" s="31">
        <v>8.85</v>
      </c>
      <c r="O128" s="32">
        <v>500</v>
      </c>
      <c r="P128" s="33">
        <v>0.3302639</v>
      </c>
      <c r="Q128" s="34">
        <v>1.9259999999999999E-2</v>
      </c>
    </row>
    <row r="129" spans="13:17" x14ac:dyDescent="0.15">
      <c r="M129" s="30" t="s">
        <v>215</v>
      </c>
      <c r="N129" s="31">
        <v>21</v>
      </c>
      <c r="O129" s="32">
        <v>400</v>
      </c>
      <c r="P129" s="33">
        <v>0.280746</v>
      </c>
      <c r="Q129" s="34">
        <v>1.507E-2</v>
      </c>
    </row>
    <row r="130" spans="13:17" x14ac:dyDescent="0.15">
      <c r="M130" s="30" t="s">
        <v>216</v>
      </c>
      <c r="N130" s="31">
        <v>23.55</v>
      </c>
      <c r="O130" s="32">
        <v>1000</v>
      </c>
      <c r="P130" s="33">
        <v>0.3412906</v>
      </c>
      <c r="Q130" s="34">
        <v>4.2369999999999998E-2</v>
      </c>
    </row>
    <row r="131" spans="13:17" x14ac:dyDescent="0.15">
      <c r="M131" s="30" t="s">
        <v>217</v>
      </c>
      <c r="N131" s="31">
        <v>5.63</v>
      </c>
      <c r="O131" s="32">
        <v>500</v>
      </c>
      <c r="P131" s="33">
        <v>0.25115609999999999</v>
      </c>
      <c r="Q131" s="34">
        <v>5.6059999999999999E-2</v>
      </c>
    </row>
    <row r="132" spans="13:17" x14ac:dyDescent="0.15">
      <c r="M132" s="30" t="s">
        <v>218</v>
      </c>
      <c r="N132" s="31">
        <v>9.1</v>
      </c>
      <c r="O132" s="32">
        <v>500</v>
      </c>
      <c r="P132" s="33">
        <v>0.27934720000000002</v>
      </c>
      <c r="Q132" s="34">
        <v>1.32E-2</v>
      </c>
    </row>
    <row r="133" spans="13:17" x14ac:dyDescent="0.15">
      <c r="M133" s="30" t="s">
        <v>219</v>
      </c>
      <c r="N133" s="31">
        <v>91.3</v>
      </c>
      <c r="O133" s="32">
        <v>1000</v>
      </c>
      <c r="P133" s="33">
        <v>0.13161790000000001</v>
      </c>
      <c r="Q133" s="34">
        <v>3.6670000000000001E-2</v>
      </c>
    </row>
    <row r="134" spans="13:17" x14ac:dyDescent="0.15">
      <c r="M134" s="30" t="s">
        <v>220</v>
      </c>
      <c r="N134" s="31">
        <v>86.7</v>
      </c>
      <c r="O134" s="32">
        <v>500</v>
      </c>
      <c r="P134" s="33">
        <v>0.1701376</v>
      </c>
      <c r="Q134" s="34">
        <v>4.0460000000000003E-2</v>
      </c>
    </row>
    <row r="135" spans="13:17" x14ac:dyDescent="0.15">
      <c r="M135" s="30" t="s">
        <v>221</v>
      </c>
      <c r="N135" s="31">
        <v>20.149999999999999</v>
      </c>
      <c r="O135" s="32">
        <v>200</v>
      </c>
      <c r="P135" s="33">
        <v>0.2044356</v>
      </c>
      <c r="Q135" s="34">
        <v>2.886E-2</v>
      </c>
    </row>
    <row r="136" spans="13:17" x14ac:dyDescent="0.15">
      <c r="M136" s="30" t="s">
        <v>222</v>
      </c>
      <c r="N136" s="31">
        <v>20.45</v>
      </c>
      <c r="O136" s="32">
        <v>500</v>
      </c>
      <c r="P136" s="33">
        <v>0.31970670000000001</v>
      </c>
      <c r="Q136" s="34">
        <v>1.01E-2</v>
      </c>
    </row>
    <row r="137" spans="13:17" x14ac:dyDescent="0.15">
      <c r="M137" s="30" t="s">
        <v>223</v>
      </c>
      <c r="N137" s="31">
        <v>564.5</v>
      </c>
      <c r="O137" s="32">
        <v>100</v>
      </c>
      <c r="P137" s="33">
        <v>0.36147899999999999</v>
      </c>
      <c r="Q137" s="34">
        <v>1.7700000000000001E-3</v>
      </c>
    </row>
    <row r="138" spans="13:17" x14ac:dyDescent="0.15">
      <c r="M138" s="30" t="s">
        <v>224</v>
      </c>
      <c r="N138" s="31">
        <v>21.1</v>
      </c>
      <c r="O138" s="32">
        <v>2000</v>
      </c>
      <c r="P138" s="33">
        <v>0.23636370000000001</v>
      </c>
      <c r="Q138" s="34">
        <v>1.1849999999999999E-2</v>
      </c>
    </row>
    <row r="139" spans="13:17" x14ac:dyDescent="0.15">
      <c r="M139" s="30" t="s">
        <v>225</v>
      </c>
      <c r="N139" s="31">
        <v>9.68</v>
      </c>
      <c r="O139" s="32">
        <v>1000</v>
      </c>
      <c r="P139" s="33">
        <v>0.28303699999999998</v>
      </c>
      <c r="Q139" s="34">
        <v>6.1999999999999998E-3</v>
      </c>
    </row>
    <row r="140" spans="13:17" x14ac:dyDescent="0.15">
      <c r="M140" s="30" t="s">
        <v>226</v>
      </c>
      <c r="N140" s="31">
        <v>21.8</v>
      </c>
      <c r="O140" s="32">
        <v>500</v>
      </c>
      <c r="P140" s="33">
        <v>0.15185190000000001</v>
      </c>
      <c r="Q140" s="34">
        <v>3.3489999999999999E-2</v>
      </c>
    </row>
    <row r="141" spans="13:17" x14ac:dyDescent="0.15">
      <c r="M141" s="30" t="s">
        <v>227</v>
      </c>
      <c r="N141" s="31">
        <v>18.18</v>
      </c>
      <c r="O141" s="32">
        <v>2000</v>
      </c>
      <c r="P141" s="33">
        <v>0.1161648</v>
      </c>
      <c r="Q141" s="34">
        <v>2.75E-2</v>
      </c>
    </row>
    <row r="142" spans="13:17" x14ac:dyDescent="0.15">
      <c r="M142" s="30" t="s">
        <v>228</v>
      </c>
      <c r="N142" s="31">
        <v>7.24</v>
      </c>
      <c r="O142" s="32">
        <v>1000</v>
      </c>
      <c r="P142" s="33">
        <v>0.27139259999999998</v>
      </c>
      <c r="Q142" s="34">
        <v>8.3099999999999997E-3</v>
      </c>
    </row>
    <row r="143" spans="13:17" x14ac:dyDescent="0.15">
      <c r="M143" s="30" t="s">
        <v>229</v>
      </c>
      <c r="N143" s="31">
        <v>11.6</v>
      </c>
      <c r="O143" s="32">
        <v>1000</v>
      </c>
      <c r="P143" s="33">
        <v>0.25311080000000002</v>
      </c>
      <c r="Q143" s="34">
        <v>2.12E-2</v>
      </c>
    </row>
    <row r="144" spans="13:17" x14ac:dyDescent="0.15">
      <c r="M144" s="30" t="s">
        <v>230</v>
      </c>
      <c r="N144" s="31">
        <v>28.5</v>
      </c>
      <c r="O144" s="32">
        <v>1000</v>
      </c>
      <c r="P144" s="33">
        <v>0.30761379999999999</v>
      </c>
      <c r="Q144" s="34">
        <v>1.4619999999999999E-2</v>
      </c>
    </row>
    <row r="145" spans="13:17" x14ac:dyDescent="0.15">
      <c r="M145" s="30" t="s">
        <v>231</v>
      </c>
      <c r="N145" s="31">
        <v>49.5</v>
      </c>
      <c r="O145" s="32">
        <v>1000</v>
      </c>
      <c r="P145" s="33">
        <v>0.23720359999999999</v>
      </c>
      <c r="Q145" s="34">
        <v>3.4340000000000002E-2</v>
      </c>
    </row>
    <row r="146" spans="13:17" x14ac:dyDescent="0.15">
      <c r="M146" s="30" t="s">
        <v>232</v>
      </c>
      <c r="N146" s="31">
        <v>29.3</v>
      </c>
      <c r="O146" s="32">
        <v>1000</v>
      </c>
      <c r="P146" s="33">
        <v>0.21056240000000001</v>
      </c>
      <c r="Q146" s="34">
        <v>4.0960000000000003E-2</v>
      </c>
    </row>
    <row r="147" spans="13:17" x14ac:dyDescent="0.15">
      <c r="M147" s="30" t="s">
        <v>233</v>
      </c>
      <c r="N147" s="31">
        <v>117.1</v>
      </c>
      <c r="O147" s="32">
        <v>500</v>
      </c>
      <c r="P147" s="33">
        <v>0.2628202</v>
      </c>
      <c r="Q147" s="34">
        <v>1.7760000000000001E-2</v>
      </c>
    </row>
    <row r="148" spans="13:17" x14ac:dyDescent="0.15">
      <c r="M148" s="30" t="s">
        <v>234</v>
      </c>
      <c r="N148" s="31">
        <v>35.35</v>
      </c>
      <c r="O148" s="32">
        <v>400</v>
      </c>
      <c r="P148" s="33">
        <v>0.32026900000000003</v>
      </c>
      <c r="Q148" s="34">
        <v>4.9360000000000001E-2</v>
      </c>
    </row>
    <row r="149" spans="13:17" x14ac:dyDescent="0.15">
      <c r="M149" s="30" t="s">
        <v>235</v>
      </c>
      <c r="N149" s="31">
        <v>6.65</v>
      </c>
      <c r="O149" s="32">
        <v>2000</v>
      </c>
      <c r="P149" s="33">
        <v>0.33264769999999999</v>
      </c>
      <c r="Q149" s="34">
        <v>3.313E-2</v>
      </c>
    </row>
    <row r="150" spans="13:17" x14ac:dyDescent="0.15">
      <c r="M150" s="30" t="s">
        <v>236</v>
      </c>
      <c r="N150" s="31">
        <v>5.21</v>
      </c>
      <c r="O150" s="32">
        <v>2000</v>
      </c>
      <c r="P150" s="33">
        <v>0.3049442</v>
      </c>
      <c r="Q150" s="34">
        <v>8.745E-2</v>
      </c>
    </row>
    <row r="151" spans="13:17" x14ac:dyDescent="0.15">
      <c r="M151" s="30" t="s">
        <v>26</v>
      </c>
      <c r="N151" s="31">
        <v>23.55</v>
      </c>
      <c r="O151" s="32">
        <v>500</v>
      </c>
      <c r="P151" s="33">
        <v>0.2714008</v>
      </c>
      <c r="Q151" s="34">
        <v>2.5590000000000002E-2</v>
      </c>
    </row>
    <row r="152" spans="13:17" x14ac:dyDescent="0.15">
      <c r="M152" s="30" t="s">
        <v>237</v>
      </c>
      <c r="N152" s="31">
        <v>6.8</v>
      </c>
      <c r="O152" s="32">
        <v>2000</v>
      </c>
      <c r="P152" s="33">
        <v>0.27322279999999999</v>
      </c>
      <c r="Q152" s="34">
        <v>5.57E-2</v>
      </c>
    </row>
    <row r="153" spans="13:17" x14ac:dyDescent="0.15">
      <c r="M153" s="30" t="s">
        <v>238</v>
      </c>
      <c r="N153" s="31">
        <v>24.6</v>
      </c>
      <c r="O153" s="32">
        <v>500</v>
      </c>
      <c r="P153" s="33">
        <v>0.42768349999999999</v>
      </c>
      <c r="Q153" s="34">
        <v>1.804E-2</v>
      </c>
    </row>
    <row r="154" spans="13:17" ht="14" thickBot="1" x14ac:dyDescent="0.2">
      <c r="M154" s="111" t="s">
        <v>239</v>
      </c>
      <c r="N154" s="112">
        <v>1.64</v>
      </c>
      <c r="O154" s="113">
        <v>2000</v>
      </c>
      <c r="P154" s="114">
        <v>0.3051992</v>
      </c>
      <c r="Q154" s="115">
        <v>7.7189999999999995E-2</v>
      </c>
    </row>
  </sheetData>
  <mergeCells count="40">
    <mergeCell ref="G40:G41"/>
    <mergeCell ref="H40:H41"/>
    <mergeCell ref="I40:I41"/>
    <mergeCell ref="J40:J41"/>
    <mergeCell ref="F49:F50"/>
    <mergeCell ref="G49:G50"/>
    <mergeCell ref="H49:H50"/>
    <mergeCell ref="I49:I50"/>
    <mergeCell ref="J49:J50"/>
    <mergeCell ref="F46:F47"/>
    <mergeCell ref="G46:G47"/>
    <mergeCell ref="H46:H47"/>
    <mergeCell ref="I46:I47"/>
    <mergeCell ref="J46:J47"/>
    <mergeCell ref="K38:K39"/>
    <mergeCell ref="G10:J10"/>
    <mergeCell ref="G11:H11"/>
    <mergeCell ref="H16:K16"/>
    <mergeCell ref="B18:D18"/>
    <mergeCell ref="H18:K18"/>
    <mergeCell ref="B19:D19"/>
    <mergeCell ref="F38:F39"/>
    <mergeCell ref="G38:G39"/>
    <mergeCell ref="H38:H39"/>
    <mergeCell ref="I38:I39"/>
    <mergeCell ref="J38:J39"/>
    <mergeCell ref="C3:D3"/>
    <mergeCell ref="G3:J3"/>
    <mergeCell ref="C4:D4"/>
    <mergeCell ref="G5:H5"/>
    <mergeCell ref="G6:H6"/>
    <mergeCell ref="G7:H7"/>
    <mergeCell ref="G8:H8"/>
    <mergeCell ref="G9:H9"/>
    <mergeCell ref="F43:F44"/>
    <mergeCell ref="G43:G44"/>
    <mergeCell ref="H43:H44"/>
    <mergeCell ref="I43:I44"/>
    <mergeCell ref="J43:J44"/>
    <mergeCell ref="F40:F41"/>
  </mergeCells>
  <phoneticPr fontId="12" type="noConversion"/>
  <dataValidations count="2">
    <dataValidation type="list" allowBlank="1" showInputMessage="1" showErrorMessage="1" sqref="C3:D3" xr:uid="{00000000-0002-0000-0400-000000000000}">
      <formula1>$M$4:$M$154</formula1>
    </dataValidation>
    <dataValidation type="list" allowBlank="1" showInputMessage="1" showErrorMessage="1" sqref="WVK98304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xr:uid="{00000000-0002-0000-0400-000001000000}">
      <formula1>_CompanyName</formula1>
    </dataValidation>
  </dataValidations>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ELN Pricer</vt:lpstr>
    </vt:vector>
  </TitlesOfParts>
  <Company>City University of Hong Kong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Carles Fan</dc:creator>
  <cp:lastModifiedBy>Wilfred Chan</cp:lastModifiedBy>
  <dcterms:created xsi:type="dcterms:W3CDTF">2015-03-22T14:30:36Z</dcterms:created>
  <dcterms:modified xsi:type="dcterms:W3CDTF">2020-08-18T02:25:03Z</dcterms:modified>
</cp:coreProperties>
</file>